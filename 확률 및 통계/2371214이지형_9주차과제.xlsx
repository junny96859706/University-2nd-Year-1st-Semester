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바탕 화면\University-2nd-Year-1st-Semester\확률 및 통계\"/>
    </mc:Choice>
  </mc:AlternateContent>
  <xr:revisionPtr revIDLastSave="0" documentId="13_ncr:1_{1DC60DD1-2AED-4A75-B0AD-2BA50823AE02}" xr6:coauthVersionLast="47" xr6:coauthVersionMax="47" xr10:uidLastSave="{00000000-0000-0000-0000-000000000000}"/>
  <bookViews>
    <workbookView xWindow="-120" yWindow="-120" windowWidth="38640" windowHeight="21120" xr2:uid="{FC8B4ED0-7A8B-495E-89B5-9C66AF1AD0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5" i="1" l="1"/>
  <c r="E46" i="1"/>
  <c r="E47" i="1"/>
  <c r="E48" i="1"/>
  <c r="E49" i="1"/>
  <c r="E50" i="1"/>
  <c r="E51" i="1"/>
  <c r="E52" i="1"/>
  <c r="E44" i="1"/>
  <c r="Q10" i="1"/>
  <c r="Q11" i="1"/>
  <c r="Q12" i="1"/>
  <c r="Q13" i="1"/>
  <c r="R13" i="1" s="1"/>
  <c r="S13" i="1" s="1"/>
  <c r="Q14" i="1"/>
  <c r="Q15" i="1"/>
  <c r="Q16" i="1"/>
  <c r="R16" i="1" s="1"/>
  <c r="S16" i="1" s="1"/>
  <c r="Q17" i="1"/>
  <c r="R17" i="1" s="1"/>
  <c r="S17" i="1" s="1"/>
  <c r="Q18" i="1"/>
  <c r="R18" i="1" s="1"/>
  <c r="S18" i="1" s="1"/>
  <c r="Q9" i="1"/>
  <c r="E16" i="1"/>
  <c r="E15" i="1"/>
  <c r="E14" i="1"/>
  <c r="T18" i="1"/>
  <c r="T17" i="1"/>
  <c r="T16" i="1"/>
  <c r="T15" i="1"/>
  <c r="R15" i="1"/>
  <c r="S15" i="1" s="1"/>
  <c r="T14" i="1"/>
  <c r="R14" i="1"/>
  <c r="S14" i="1" s="1"/>
  <c r="T13" i="1"/>
  <c r="T12" i="1"/>
  <c r="R12" i="1"/>
  <c r="S12" i="1" s="1"/>
  <c r="T11" i="1"/>
  <c r="R11" i="1"/>
  <c r="S11" i="1" s="1"/>
  <c r="T10" i="1"/>
  <c r="R10" i="1"/>
  <c r="S10" i="1" s="1"/>
  <c r="T9" i="1"/>
  <c r="R9" i="1"/>
  <c r="S9" i="1" s="1"/>
  <c r="F10" i="1"/>
  <c r="F11" i="1"/>
  <c r="F12" i="1"/>
  <c r="F13" i="1"/>
  <c r="F14" i="1"/>
  <c r="F15" i="1"/>
  <c r="F16" i="1"/>
  <c r="F17" i="1"/>
  <c r="F18" i="1"/>
  <c r="F9" i="1"/>
  <c r="E10" i="1"/>
  <c r="E11" i="1"/>
  <c r="E12" i="1"/>
  <c r="E13" i="1"/>
  <c r="E17" i="1"/>
  <c r="E18" i="1"/>
  <c r="E9" i="1"/>
  <c r="D10" i="1"/>
  <c r="D11" i="1"/>
  <c r="D12" i="1"/>
  <c r="D13" i="1"/>
  <c r="D14" i="1"/>
  <c r="D15" i="1"/>
  <c r="D16" i="1"/>
  <c r="D17" i="1"/>
  <c r="D18" i="1"/>
  <c r="D9" i="1"/>
  <c r="C10" i="1"/>
  <c r="C11" i="1"/>
  <c r="C12" i="1"/>
  <c r="C13" i="1"/>
  <c r="C14" i="1"/>
  <c r="C15" i="1"/>
  <c r="C16" i="1"/>
  <c r="C17" i="1"/>
  <c r="C18" i="1"/>
  <c r="C9" i="1"/>
</calcChain>
</file>

<file path=xl/sharedStrings.xml><?xml version="1.0" encoding="utf-8"?>
<sst xmlns="http://schemas.openxmlformats.org/spreadsheetml/2006/main" count="47" uniqueCount="38">
  <si>
    <t>HW</t>
    <phoneticPr fontId="1" type="noConversion"/>
  </si>
  <si>
    <t>따르지 않는다면 정규분포를 따르는 적절한 변환을 구하라.</t>
    <phoneticPr fontId="1" type="noConversion"/>
  </si>
  <si>
    <t>Data</t>
    <phoneticPr fontId="1" type="noConversion"/>
  </si>
  <si>
    <t>Rank</t>
    <phoneticPr fontId="1" type="noConversion"/>
  </si>
  <si>
    <t>누적확률</t>
    <phoneticPr fontId="1" type="noConversion"/>
  </si>
  <si>
    <t>정규점수(Y)</t>
    <phoneticPr fontId="1" type="noConversion"/>
  </si>
  <si>
    <t>=&gt;1차판단: 정규확률그림에서 점들이 직선을 따르지 않고 곡선형태를 보이며, 특히 큰값이 직선을 이탈한다.</t>
    <phoneticPr fontId="1" type="noConversion"/>
  </si>
  <si>
    <t>로그데이터</t>
    <phoneticPr fontId="1" type="noConversion"/>
  </si>
  <si>
    <t>1-1번:다음의 자료가 정규분포를 따르는가를 정규확률 그림을 그려 확인해 보고,</t>
    <phoneticPr fontId="1" type="noConversion"/>
  </si>
  <si>
    <t>=&gt;2차판단(로그데이터): 로그변환을 통해 정규성을 확보했다.</t>
    <phoneticPr fontId="1" type="noConversion"/>
  </si>
  <si>
    <t>1-2번:다음의 자료가 정규분포를 따르는가를 정규확률 그림을 그려 확인해</t>
    <phoneticPr fontId="1" type="noConversion"/>
  </si>
  <si>
    <t>보고, 따르지 않는다면 정규분포를 따르는 적절한 변환을 구하라.</t>
    <phoneticPr fontId="1" type="noConversion"/>
  </si>
  <si>
    <t xml:space="preserve">=&gt;결과분석: 원본데이터에서는 점들이 추세선 주변에 보여있지만 끝단에서 살작 휘어지는 곡선의 형태가 보여 </t>
    <phoneticPr fontId="1" type="noConversion"/>
  </si>
  <si>
    <t>1-1번보다는 덜하지만 여전히 정규분포라고 하기에는 무리가 있음</t>
    <phoneticPr fontId="1" type="noConversion"/>
  </si>
  <si>
    <t>=&gt;로그를 취한후의 데이터를 보면, 점들이 더 굴곡진 형태로 나타나는것을 볼수있음으로</t>
    <phoneticPr fontId="1" type="noConversion"/>
  </si>
  <si>
    <t>로그변환이 효과적이지 않다.(변환 불필요)</t>
    <phoneticPr fontId="1" type="noConversion"/>
  </si>
  <si>
    <t>2번:복원추출로 [1,3,5]에서 두수를 추출할때, 다음에 답하라.</t>
    <phoneticPr fontId="1" type="noConversion"/>
  </si>
  <si>
    <t>(1)모든 가능한 표본을 구하고 각각의 x(bar)를 구하라.</t>
    <phoneticPr fontId="1" type="noConversion"/>
  </si>
  <si>
    <t>3 x 3의 가지 경우</t>
    <phoneticPr fontId="1" type="noConversion"/>
  </si>
  <si>
    <t>표본번호</t>
    <phoneticPr fontId="1" type="noConversion"/>
  </si>
  <si>
    <t>x1</t>
    <phoneticPr fontId="1" type="noConversion"/>
  </si>
  <si>
    <t>x2</t>
    <phoneticPr fontId="1" type="noConversion"/>
  </si>
  <si>
    <t>포본평균(x bar)</t>
    <phoneticPr fontId="1" type="noConversion"/>
  </si>
  <si>
    <t>확률분표표작성</t>
    <phoneticPr fontId="1" type="noConversion"/>
  </si>
  <si>
    <t>x bar</t>
    <phoneticPr fontId="1" type="noConversion"/>
  </si>
  <si>
    <t>빈도수</t>
    <phoneticPr fontId="1" type="noConversion"/>
  </si>
  <si>
    <t>1개</t>
    <phoneticPr fontId="1" type="noConversion"/>
  </si>
  <si>
    <t>2개</t>
    <phoneticPr fontId="1" type="noConversion"/>
  </si>
  <si>
    <t>3개</t>
    <phoneticPr fontId="1" type="noConversion"/>
  </si>
  <si>
    <t>(2)표본평균 X BAR의 분포를 구하라.</t>
    <phoneticPr fontId="1" type="noConversion"/>
  </si>
  <si>
    <t>합계:</t>
    <phoneticPr fontId="1" type="noConversion"/>
  </si>
  <si>
    <t>9개</t>
    <phoneticPr fontId="1" type="noConversion"/>
  </si>
  <si>
    <t>표본평균(X BAR)</t>
    <phoneticPr fontId="1" type="noConversion"/>
  </si>
  <si>
    <t>3/9</t>
    <phoneticPr fontId="1" type="noConversion"/>
  </si>
  <si>
    <t>1/9</t>
    <phoneticPr fontId="1" type="noConversion"/>
  </si>
  <si>
    <t>2/9</t>
    <phoneticPr fontId="1" type="noConversion"/>
  </si>
  <si>
    <t>1</t>
    <phoneticPr fontId="1" type="noConversion"/>
  </si>
  <si>
    <t>2371214이지형 9주차 과제제출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</si>
</sst>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48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quotePrefix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176" fontId="0" fillId="0" borderId="5" xfId="0" quotePrefix="1" applyNumberFormat="1" applyBorder="1">
      <alignment vertical="center"/>
    </xf>
    <xf numFmtId="0" fontId="0" fillId="0" borderId="5" xfId="0" quotePrefix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strRef>
              <c:f>Sheet1!$E$8</c:f>
              <c:strCache>
                <c:ptCount val="1"/>
                <c:pt idx="0">
                  <c:v>정규점수(Y)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Sheet1!$B$9:$B$18</c:f>
              <c:numCache>
                <c:formatCode>General</c:formatCode>
                <c:ptCount val="10"/>
                <c:pt idx="0">
                  <c:v>9.51</c:v>
                </c:pt>
                <c:pt idx="1">
                  <c:v>0.28000000000000003</c:v>
                </c:pt>
                <c:pt idx="2">
                  <c:v>1.63</c:v>
                </c:pt>
                <c:pt idx="3">
                  <c:v>1.39</c:v>
                </c:pt>
                <c:pt idx="4">
                  <c:v>1.58</c:v>
                </c:pt>
                <c:pt idx="5">
                  <c:v>3.04</c:v>
                </c:pt>
                <c:pt idx="6">
                  <c:v>1.49</c:v>
                </c:pt>
                <c:pt idx="7">
                  <c:v>1.79</c:v>
                </c:pt>
                <c:pt idx="8">
                  <c:v>3.89</c:v>
                </c:pt>
                <c:pt idx="9">
                  <c:v>0.98</c:v>
                </c:pt>
              </c:numCache>
            </c:numRef>
          </c:xVal>
          <c:yVal>
            <c:numRef>
              <c:f>Sheet1!$E$9:$E$18</c:f>
              <c:numCache>
                <c:formatCode>General</c:formatCode>
                <c:ptCount val="10"/>
                <c:pt idx="0">
                  <c:v>1.3351777361189361</c:v>
                </c:pt>
                <c:pt idx="1">
                  <c:v>-1.3351777361189361</c:v>
                </c:pt>
                <c:pt idx="2">
                  <c:v>0.11418529432142825</c:v>
                </c:pt>
                <c:pt idx="3">
                  <c:v>-0.60458534658323715</c:v>
                </c:pt>
                <c:pt idx="4">
                  <c:v>-0.11418529432142839</c:v>
                </c:pt>
                <c:pt idx="5">
                  <c:v>0.60458534658323715</c:v>
                </c:pt>
                <c:pt idx="6">
                  <c:v>-0.34875569551704472</c:v>
                </c:pt>
                <c:pt idx="7">
                  <c:v>0.34875569551704472</c:v>
                </c:pt>
                <c:pt idx="8">
                  <c:v>0.90845786853738464</c:v>
                </c:pt>
                <c:pt idx="9">
                  <c:v>-0.9084578685373853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2D5-4DE2-BE08-F267EF3B9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2124224"/>
        <c:axId val="26212662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Sheet1!$C$8</c15:sqref>
                        </c15:formulaRef>
                      </c:ext>
                    </c:extLst>
                    <c:strCache>
                      <c:ptCount val="1"/>
                      <c:pt idx="0">
                        <c:v>Rank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trendline>
                  <c:spPr>
                    <a:ln w="19050" cap="rnd">
                      <a:solidFill>
                        <a:schemeClr val="accent1"/>
                      </a:solidFill>
                      <a:prstDash val="sysDot"/>
                    </a:ln>
                    <a:effectLst/>
                  </c:spPr>
                  <c:trendlineType val="linear"/>
                  <c:dispRSqr val="0"/>
                  <c:dispEq val="0"/>
                </c:trendline>
                <c:xVal>
                  <c:numRef>
                    <c:extLst>
                      <c:ext uri="{02D57815-91ED-43cb-92C2-25804820EDAC}">
                        <c15:formulaRef>
                          <c15:sqref>Sheet1!$B$9:$B$18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9.51</c:v>
                      </c:pt>
                      <c:pt idx="1">
                        <c:v>0.28000000000000003</c:v>
                      </c:pt>
                      <c:pt idx="2">
                        <c:v>1.63</c:v>
                      </c:pt>
                      <c:pt idx="3">
                        <c:v>1.39</c:v>
                      </c:pt>
                      <c:pt idx="4">
                        <c:v>1.58</c:v>
                      </c:pt>
                      <c:pt idx="5">
                        <c:v>3.04</c:v>
                      </c:pt>
                      <c:pt idx="6">
                        <c:v>1.49</c:v>
                      </c:pt>
                      <c:pt idx="7">
                        <c:v>1.79</c:v>
                      </c:pt>
                      <c:pt idx="8">
                        <c:v>3.89</c:v>
                      </c:pt>
                      <c:pt idx="9">
                        <c:v>0.98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Sheet1!$C$9:$C$18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1</c:v>
                      </c:pt>
                      <c:pt idx="2">
                        <c:v>6</c:v>
                      </c:pt>
                      <c:pt idx="3">
                        <c:v>3</c:v>
                      </c:pt>
                      <c:pt idx="4">
                        <c:v>5</c:v>
                      </c:pt>
                      <c:pt idx="5">
                        <c:v>8</c:v>
                      </c:pt>
                      <c:pt idx="6">
                        <c:v>4</c:v>
                      </c:pt>
                      <c:pt idx="7">
                        <c:v>7</c:v>
                      </c:pt>
                      <c:pt idx="8">
                        <c:v>9</c:v>
                      </c:pt>
                      <c:pt idx="9">
                        <c:v>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C2D5-4DE2-BE08-F267EF3B9B1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Sheet1!$D$8</c15:sqref>
                        </c15:formulaRef>
                      </c:ext>
                    </c:extLst>
                    <c:strCache>
                      <c:ptCount val="1"/>
                      <c:pt idx="0">
                        <c:v>누적확률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Sheet1!$B$9:$B$18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9.51</c:v>
                      </c:pt>
                      <c:pt idx="1">
                        <c:v>0.28000000000000003</c:v>
                      </c:pt>
                      <c:pt idx="2">
                        <c:v>1.63</c:v>
                      </c:pt>
                      <c:pt idx="3">
                        <c:v>1.39</c:v>
                      </c:pt>
                      <c:pt idx="4">
                        <c:v>1.58</c:v>
                      </c:pt>
                      <c:pt idx="5">
                        <c:v>3.04</c:v>
                      </c:pt>
                      <c:pt idx="6">
                        <c:v>1.49</c:v>
                      </c:pt>
                      <c:pt idx="7">
                        <c:v>1.79</c:v>
                      </c:pt>
                      <c:pt idx="8">
                        <c:v>3.89</c:v>
                      </c:pt>
                      <c:pt idx="9">
                        <c:v>0.98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Sheet1!$D$9:$D$18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0.90909090909090906</c:v>
                      </c:pt>
                      <c:pt idx="1">
                        <c:v>9.0909090909090912E-2</c:v>
                      </c:pt>
                      <c:pt idx="2">
                        <c:v>0.54545454545454541</c:v>
                      </c:pt>
                      <c:pt idx="3">
                        <c:v>0.27272727272727271</c:v>
                      </c:pt>
                      <c:pt idx="4">
                        <c:v>0.45454545454545453</c:v>
                      </c:pt>
                      <c:pt idx="5">
                        <c:v>0.72727272727272729</c:v>
                      </c:pt>
                      <c:pt idx="6">
                        <c:v>0.36363636363636365</c:v>
                      </c:pt>
                      <c:pt idx="7">
                        <c:v>0.63636363636363635</c:v>
                      </c:pt>
                      <c:pt idx="8">
                        <c:v>0.81818181818181823</c:v>
                      </c:pt>
                      <c:pt idx="9">
                        <c:v>0.18181818181818182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C2D5-4DE2-BE08-F267EF3B9B11}"/>
                  </c:ext>
                </c:extLst>
              </c15:ser>
            </c15:filteredScatterSeries>
          </c:ext>
        </c:extLst>
      </c:scatterChart>
      <c:valAx>
        <c:axId val="262124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62126624"/>
        <c:crosses val="autoZero"/>
        <c:crossBetween val="midCat"/>
      </c:valAx>
      <c:valAx>
        <c:axId val="26212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62124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Sheet1!$F$8</c:f>
              <c:strCache>
                <c:ptCount val="1"/>
                <c:pt idx="0">
                  <c:v>로그데이터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Sheet1!$E$9:$E$18</c:f>
              <c:numCache>
                <c:formatCode>General</c:formatCode>
                <c:ptCount val="10"/>
                <c:pt idx="0">
                  <c:v>1.3351777361189361</c:v>
                </c:pt>
                <c:pt idx="1">
                  <c:v>-1.3351777361189361</c:v>
                </c:pt>
                <c:pt idx="2">
                  <c:v>0.11418529432142825</c:v>
                </c:pt>
                <c:pt idx="3">
                  <c:v>-0.60458534658323715</c:v>
                </c:pt>
                <c:pt idx="4">
                  <c:v>-0.11418529432142839</c:v>
                </c:pt>
                <c:pt idx="5">
                  <c:v>0.60458534658323715</c:v>
                </c:pt>
                <c:pt idx="6">
                  <c:v>-0.34875569551704472</c:v>
                </c:pt>
                <c:pt idx="7">
                  <c:v>0.34875569551704472</c:v>
                </c:pt>
                <c:pt idx="8">
                  <c:v>0.90845786853738464</c:v>
                </c:pt>
                <c:pt idx="9">
                  <c:v>-0.9084578685373853</c:v>
                </c:pt>
              </c:numCache>
            </c:numRef>
          </c:xVal>
          <c:yVal>
            <c:numRef>
              <c:f>Sheet1!$F$9:$F$18</c:f>
              <c:numCache>
                <c:formatCode>General</c:formatCode>
                <c:ptCount val="10"/>
                <c:pt idx="0">
                  <c:v>2.252343876557299</c:v>
                </c:pt>
                <c:pt idx="1">
                  <c:v>-1.2729656758128873</c:v>
                </c:pt>
                <c:pt idx="2">
                  <c:v>0.48858001481867092</c:v>
                </c:pt>
                <c:pt idx="3">
                  <c:v>0.3293037471426003</c:v>
                </c:pt>
                <c:pt idx="4">
                  <c:v>0.45742484703887548</c:v>
                </c:pt>
                <c:pt idx="5">
                  <c:v>1.1118575154181303</c:v>
                </c:pt>
                <c:pt idx="6">
                  <c:v>0.39877611995736778</c:v>
                </c:pt>
                <c:pt idx="7">
                  <c:v>0.58221561985266368</c:v>
                </c:pt>
                <c:pt idx="8">
                  <c:v>1.358409157630355</c:v>
                </c:pt>
                <c:pt idx="9">
                  <c:v>-2.0202707317519466E-2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5D-46F3-B503-09CBC1F72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513856"/>
        <c:axId val="187514816"/>
      </c:scatterChart>
      <c:valAx>
        <c:axId val="18751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514816"/>
        <c:crosses val="autoZero"/>
        <c:crossBetween val="midCat"/>
      </c:valAx>
      <c:valAx>
        <c:axId val="18751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875138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2"/>
          <c:order val="2"/>
          <c:tx>
            <c:strRef>
              <c:f>Sheet1!$S$8</c:f>
              <c:strCache>
                <c:ptCount val="1"/>
                <c:pt idx="0">
                  <c:v>정규점수(Y)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Sheet1!$P$9:$P$18</c:f>
              <c:numCache>
                <c:formatCode>General</c:formatCode>
                <c:ptCount val="10"/>
                <c:pt idx="0">
                  <c:v>2.97</c:v>
                </c:pt>
                <c:pt idx="1">
                  <c:v>4.3499999999999996</c:v>
                </c:pt>
                <c:pt idx="2">
                  <c:v>2.67</c:v>
                </c:pt>
                <c:pt idx="3">
                  <c:v>3.27</c:v>
                </c:pt>
                <c:pt idx="4">
                  <c:v>1.75</c:v>
                </c:pt>
                <c:pt idx="5">
                  <c:v>4.2699999999999996</c:v>
                </c:pt>
                <c:pt idx="6">
                  <c:v>4.1900000000000004</c:v>
                </c:pt>
                <c:pt idx="7">
                  <c:v>2.67</c:v>
                </c:pt>
                <c:pt idx="8">
                  <c:v>1.04</c:v>
                </c:pt>
                <c:pt idx="9">
                  <c:v>1.93</c:v>
                </c:pt>
              </c:numCache>
            </c:numRef>
          </c:xVal>
          <c:yVal>
            <c:numRef>
              <c:f>Sheet1!$S$9:$S$18</c:f>
              <c:numCache>
                <c:formatCode>General</c:formatCode>
                <c:ptCount val="10"/>
                <c:pt idx="0">
                  <c:v>0.11418529432142825</c:v>
                </c:pt>
                <c:pt idx="1">
                  <c:v>1.3351777361189361</c:v>
                </c:pt>
                <c:pt idx="2">
                  <c:v>-0.22988411757923208</c:v>
                </c:pt>
                <c:pt idx="3">
                  <c:v>0.34875569551704472</c:v>
                </c:pt>
                <c:pt idx="4">
                  <c:v>-0.9084578685373853</c:v>
                </c:pt>
                <c:pt idx="5">
                  <c:v>0.90845786853738464</c:v>
                </c:pt>
                <c:pt idx="6">
                  <c:v>0.60458534658323715</c:v>
                </c:pt>
                <c:pt idx="7">
                  <c:v>-0.22988411757923208</c:v>
                </c:pt>
                <c:pt idx="8">
                  <c:v>-1.3351777361189361</c:v>
                </c:pt>
                <c:pt idx="9">
                  <c:v>-0.60458534658323715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81C-49E3-9670-C6A6A2872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725216"/>
        <c:axId val="6272569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Sheet1!$Q$8</c15:sqref>
                        </c15:formulaRef>
                      </c:ext>
                    </c:extLst>
                    <c:strCache>
                      <c:ptCount val="1"/>
                      <c:pt idx="0">
                        <c:v>Rank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Sheet1!$P$9:$P$18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2.97</c:v>
                      </c:pt>
                      <c:pt idx="1">
                        <c:v>4.3499999999999996</c:v>
                      </c:pt>
                      <c:pt idx="2">
                        <c:v>2.67</c:v>
                      </c:pt>
                      <c:pt idx="3">
                        <c:v>3.27</c:v>
                      </c:pt>
                      <c:pt idx="4">
                        <c:v>1.75</c:v>
                      </c:pt>
                      <c:pt idx="5">
                        <c:v>4.2699999999999996</c:v>
                      </c:pt>
                      <c:pt idx="6">
                        <c:v>4.1900000000000004</c:v>
                      </c:pt>
                      <c:pt idx="7">
                        <c:v>2.67</c:v>
                      </c:pt>
                      <c:pt idx="8">
                        <c:v>1.04</c:v>
                      </c:pt>
                      <c:pt idx="9">
                        <c:v>1.93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Sheet1!$Q$9:$Q$18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6</c:v>
                      </c:pt>
                      <c:pt idx="1">
                        <c:v>10</c:v>
                      </c:pt>
                      <c:pt idx="2">
                        <c:v>4.5</c:v>
                      </c:pt>
                      <c:pt idx="3">
                        <c:v>7</c:v>
                      </c:pt>
                      <c:pt idx="4">
                        <c:v>2</c:v>
                      </c:pt>
                      <c:pt idx="5">
                        <c:v>9</c:v>
                      </c:pt>
                      <c:pt idx="6">
                        <c:v>8</c:v>
                      </c:pt>
                      <c:pt idx="7">
                        <c:v>4.5</c:v>
                      </c:pt>
                      <c:pt idx="8">
                        <c:v>1</c:v>
                      </c:pt>
                      <c:pt idx="9">
                        <c:v>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381C-49E3-9670-C6A6A2872D0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Sheet1!$R$8</c15:sqref>
                        </c15:formulaRef>
                      </c:ext>
                    </c:extLst>
                    <c:strCache>
                      <c:ptCount val="1"/>
                      <c:pt idx="0">
                        <c:v>누적확률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Sheet1!$P$9:$P$18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2.97</c:v>
                      </c:pt>
                      <c:pt idx="1">
                        <c:v>4.3499999999999996</c:v>
                      </c:pt>
                      <c:pt idx="2">
                        <c:v>2.67</c:v>
                      </c:pt>
                      <c:pt idx="3">
                        <c:v>3.27</c:v>
                      </c:pt>
                      <c:pt idx="4">
                        <c:v>1.75</c:v>
                      </c:pt>
                      <c:pt idx="5">
                        <c:v>4.2699999999999996</c:v>
                      </c:pt>
                      <c:pt idx="6">
                        <c:v>4.1900000000000004</c:v>
                      </c:pt>
                      <c:pt idx="7">
                        <c:v>2.67</c:v>
                      </c:pt>
                      <c:pt idx="8">
                        <c:v>1.04</c:v>
                      </c:pt>
                      <c:pt idx="9">
                        <c:v>1.93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Sheet1!$R$9:$R$18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0.54545454545454541</c:v>
                      </c:pt>
                      <c:pt idx="1">
                        <c:v>0.90909090909090906</c:v>
                      </c:pt>
                      <c:pt idx="2">
                        <c:v>0.40909090909090912</c:v>
                      </c:pt>
                      <c:pt idx="3">
                        <c:v>0.63636363636363635</c:v>
                      </c:pt>
                      <c:pt idx="4">
                        <c:v>0.18181818181818182</c:v>
                      </c:pt>
                      <c:pt idx="5">
                        <c:v>0.81818181818181823</c:v>
                      </c:pt>
                      <c:pt idx="6">
                        <c:v>0.72727272727272729</c:v>
                      </c:pt>
                      <c:pt idx="7">
                        <c:v>0.40909090909090912</c:v>
                      </c:pt>
                      <c:pt idx="8">
                        <c:v>9.0909090909090912E-2</c:v>
                      </c:pt>
                      <c:pt idx="9">
                        <c:v>0.27272727272727271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381C-49E3-9670-C6A6A2872D0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Sheet1!$T$8</c15:sqref>
                        </c15:formulaRef>
                      </c:ext>
                    </c:extLst>
                    <c:strCache>
                      <c:ptCount val="1"/>
                      <c:pt idx="0">
                        <c:v>로그데이터</c:v>
                      </c:pt>
                    </c:strCache>
                  </c:strRef>
                </c:tx>
                <c:spPr>
                  <a:ln w="38100" cap="rnd">
                    <a:noFill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Sheet1!$P$9:$P$18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2.97</c:v>
                      </c:pt>
                      <c:pt idx="1">
                        <c:v>4.3499999999999996</c:v>
                      </c:pt>
                      <c:pt idx="2">
                        <c:v>2.67</c:v>
                      </c:pt>
                      <c:pt idx="3">
                        <c:v>3.27</c:v>
                      </c:pt>
                      <c:pt idx="4">
                        <c:v>1.75</c:v>
                      </c:pt>
                      <c:pt idx="5">
                        <c:v>4.2699999999999996</c:v>
                      </c:pt>
                      <c:pt idx="6">
                        <c:v>4.1900000000000004</c:v>
                      </c:pt>
                      <c:pt idx="7">
                        <c:v>2.67</c:v>
                      </c:pt>
                      <c:pt idx="8">
                        <c:v>1.04</c:v>
                      </c:pt>
                      <c:pt idx="9">
                        <c:v>1.93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Sheet1!$T$9:$T$18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1.0885619528146082</c:v>
                      </c:pt>
                      <c:pt idx="1">
                        <c:v>1.4701758451005926</c:v>
                      </c:pt>
                      <c:pt idx="2">
                        <c:v>0.98207847241215818</c:v>
                      </c:pt>
                      <c:pt idx="3">
                        <c:v>1.1847899849091621</c:v>
                      </c:pt>
                      <c:pt idx="4">
                        <c:v>0.55961578793542266</c:v>
                      </c:pt>
                      <c:pt idx="5">
                        <c:v>1.451613827240533</c:v>
                      </c:pt>
                      <c:pt idx="6">
                        <c:v>1.4327007339340465</c:v>
                      </c:pt>
                      <c:pt idx="7">
                        <c:v>0.98207847241215818</c:v>
                      </c:pt>
                      <c:pt idx="8">
                        <c:v>3.9220713153281329E-2</c:v>
                      </c:pt>
                      <c:pt idx="9">
                        <c:v>0.65752000291679413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381C-49E3-9670-C6A6A2872D03}"/>
                  </c:ext>
                </c:extLst>
              </c15:ser>
            </c15:filteredScatterSeries>
          </c:ext>
        </c:extLst>
      </c:scatterChart>
      <c:valAx>
        <c:axId val="62725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2725696"/>
        <c:crosses val="autoZero"/>
        <c:crossBetween val="midCat"/>
      </c:valAx>
      <c:valAx>
        <c:axId val="62725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27252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Sheet1!$T$8</c:f>
              <c:strCache>
                <c:ptCount val="1"/>
                <c:pt idx="0">
                  <c:v>로그데이터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C00000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Sheet1!$S$9:$S$18</c:f>
              <c:numCache>
                <c:formatCode>General</c:formatCode>
                <c:ptCount val="10"/>
                <c:pt idx="0">
                  <c:v>0.11418529432142825</c:v>
                </c:pt>
                <c:pt idx="1">
                  <c:v>1.3351777361189361</c:v>
                </c:pt>
                <c:pt idx="2">
                  <c:v>-0.22988411757923208</c:v>
                </c:pt>
                <c:pt idx="3">
                  <c:v>0.34875569551704472</c:v>
                </c:pt>
                <c:pt idx="4">
                  <c:v>-0.9084578685373853</c:v>
                </c:pt>
                <c:pt idx="5">
                  <c:v>0.90845786853738464</c:v>
                </c:pt>
                <c:pt idx="6">
                  <c:v>0.60458534658323715</c:v>
                </c:pt>
                <c:pt idx="7">
                  <c:v>-0.22988411757923208</c:v>
                </c:pt>
                <c:pt idx="8">
                  <c:v>-1.3351777361189361</c:v>
                </c:pt>
                <c:pt idx="9">
                  <c:v>-0.60458534658323715</c:v>
                </c:pt>
              </c:numCache>
            </c:numRef>
          </c:xVal>
          <c:yVal>
            <c:numRef>
              <c:f>Sheet1!$T$9:$T$18</c:f>
              <c:numCache>
                <c:formatCode>General</c:formatCode>
                <c:ptCount val="10"/>
                <c:pt idx="0">
                  <c:v>1.0885619528146082</c:v>
                </c:pt>
                <c:pt idx="1">
                  <c:v>1.4701758451005926</c:v>
                </c:pt>
                <c:pt idx="2">
                  <c:v>0.98207847241215818</c:v>
                </c:pt>
                <c:pt idx="3">
                  <c:v>1.1847899849091621</c:v>
                </c:pt>
                <c:pt idx="4">
                  <c:v>0.55961578793542266</c:v>
                </c:pt>
                <c:pt idx="5">
                  <c:v>1.451613827240533</c:v>
                </c:pt>
                <c:pt idx="6">
                  <c:v>1.4327007339340465</c:v>
                </c:pt>
                <c:pt idx="7">
                  <c:v>0.98207847241215818</c:v>
                </c:pt>
                <c:pt idx="8">
                  <c:v>3.9220713153281329E-2</c:v>
                </c:pt>
                <c:pt idx="9">
                  <c:v>0.65752000291679413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8F-493E-8B75-478D6F582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2380512"/>
        <c:axId val="522380992"/>
      </c:scatterChart>
      <c:valAx>
        <c:axId val="522380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2380992"/>
        <c:crosses val="autoZero"/>
        <c:crossBetween val="midCat"/>
      </c:valAx>
      <c:valAx>
        <c:axId val="52238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22380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400050</xdr:colOff>
      <xdr:row>6</xdr:row>
      <xdr:rowOff>38100</xdr:rowOff>
    </xdr:from>
    <xdr:to>
      <xdr:col>13</xdr:col>
      <xdr:colOff>171450</xdr:colOff>
      <xdr:row>19</xdr:row>
      <xdr:rowOff>57150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110C1FA-8CAD-AC9F-6306-27EC10041C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66675</xdr:colOff>
      <xdr:row>21</xdr:row>
      <xdr:rowOff>38100</xdr:rowOff>
    </xdr:from>
    <xdr:to>
      <xdr:col>7</xdr:col>
      <xdr:colOff>238125</xdr:colOff>
      <xdr:row>34</xdr:row>
      <xdr:rowOff>57150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26391F57-C5AF-0FA8-5158-3E7FF1C40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209550</xdr:colOff>
      <xdr:row>18</xdr:row>
      <xdr:rowOff>85725</xdr:rowOff>
    </xdr:from>
    <xdr:to>
      <xdr:col>19</xdr:col>
      <xdr:colOff>666750</xdr:colOff>
      <xdr:row>31</xdr:row>
      <xdr:rowOff>104775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266E7CE-2E91-32ED-CDD4-08B9F40E8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47625</xdr:colOff>
      <xdr:row>18</xdr:row>
      <xdr:rowOff>95250</xdr:rowOff>
    </xdr:from>
    <xdr:to>
      <xdr:col>26</xdr:col>
      <xdr:colOff>504825</xdr:colOff>
      <xdr:row>31</xdr:row>
      <xdr:rowOff>114300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12E6E536-1201-EEA5-A6F0-8A12C65C95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42E34-5BA2-4A91-97BC-035674C8B5AC}">
  <dimension ref="A3:T52"/>
  <sheetViews>
    <sheetView tabSelected="1" topLeftCell="A3" workbookViewId="0">
      <selection activeCell="K28" sqref="K28"/>
    </sheetView>
  </sheetViews>
  <sheetFormatPr defaultRowHeight="16.5" x14ac:dyDescent="0.3"/>
  <cols>
    <col min="5" max="5" width="13.5" customWidth="1"/>
    <col min="6" max="6" width="10.75" customWidth="1"/>
    <col min="9" max="9" width="14.875" customWidth="1"/>
  </cols>
  <sheetData>
    <row r="3" spans="1:20" ht="69.75" x14ac:dyDescent="0.3">
      <c r="A3" s="1" t="s">
        <v>0</v>
      </c>
      <c r="C3" t="s">
        <v>37</v>
      </c>
    </row>
    <row r="5" spans="1:20" x14ac:dyDescent="0.3">
      <c r="B5" t="s">
        <v>8</v>
      </c>
      <c r="P5" t="s">
        <v>10</v>
      </c>
    </row>
    <row r="6" spans="1:20" x14ac:dyDescent="0.3">
      <c r="B6" t="s">
        <v>1</v>
      </c>
      <c r="P6" t="s">
        <v>11</v>
      </c>
    </row>
    <row r="8" spans="1:20" x14ac:dyDescent="0.3">
      <c r="B8" t="s">
        <v>2</v>
      </c>
      <c r="C8" t="s">
        <v>3</v>
      </c>
      <c r="D8" t="s">
        <v>4</v>
      </c>
      <c r="E8" t="s">
        <v>5</v>
      </c>
      <c r="F8" t="s">
        <v>7</v>
      </c>
      <c r="P8" t="s">
        <v>2</v>
      </c>
      <c r="Q8" t="s">
        <v>3</v>
      </c>
      <c r="R8" t="s">
        <v>4</v>
      </c>
      <c r="S8" t="s">
        <v>5</v>
      </c>
      <c r="T8" t="s">
        <v>7</v>
      </c>
    </row>
    <row r="9" spans="1:20" x14ac:dyDescent="0.3">
      <c r="B9">
        <v>9.51</v>
      </c>
      <c r="C9">
        <f>_xlfn.RANK.AVG(B9,$B$9:$B$18,1)</f>
        <v>10</v>
      </c>
      <c r="D9">
        <f>C9/(10+1)</f>
        <v>0.90909090909090906</v>
      </c>
      <c r="E9">
        <f>_xlfn.NORM.S.INV(D9)</f>
        <v>1.3351777361189361</v>
      </c>
      <c r="F9">
        <f>LN(B9)</f>
        <v>2.252343876557299</v>
      </c>
      <c r="P9">
        <v>2.97</v>
      </c>
      <c r="Q9">
        <f>_xlfn.RANK.AVG(P9,$P$9:$P$18,1)</f>
        <v>6</v>
      </c>
      <c r="R9">
        <f>Q9/(10+1)</f>
        <v>0.54545454545454541</v>
      </c>
      <c r="S9">
        <f>_xlfn.NORM.S.INV(R9)</f>
        <v>0.11418529432142825</v>
      </c>
      <c r="T9">
        <f>LN(P9)</f>
        <v>1.0885619528146082</v>
      </c>
    </row>
    <row r="10" spans="1:20" x14ac:dyDescent="0.3">
      <c r="B10">
        <v>0.28000000000000003</v>
      </c>
      <c r="C10">
        <f t="shared" ref="C10:C18" si="0">_xlfn.RANK.AVG(B10,$B$9:$B$18,1)</f>
        <v>1</v>
      </c>
      <c r="D10">
        <f t="shared" ref="D10:D18" si="1">C10/(10+1)</f>
        <v>9.0909090909090912E-2</v>
      </c>
      <c r="E10">
        <f t="shared" ref="E10:E18" si="2">_xlfn.NORM.S.INV(D10)</f>
        <v>-1.3351777361189361</v>
      </c>
      <c r="F10">
        <f t="shared" ref="F10:F18" si="3">LN(B10)</f>
        <v>-1.2729656758128873</v>
      </c>
      <c r="P10">
        <v>4.3499999999999996</v>
      </c>
      <c r="Q10">
        <f t="shared" ref="Q10:Q18" si="4">_xlfn.RANK.AVG(P10,$P$9:$P$18,1)</f>
        <v>10</v>
      </c>
      <c r="R10">
        <f t="shared" ref="R10:R18" si="5">Q10/(10+1)</f>
        <v>0.90909090909090906</v>
      </c>
      <c r="S10">
        <f t="shared" ref="S10:S18" si="6">_xlfn.NORM.S.INV(R10)</f>
        <v>1.3351777361189361</v>
      </c>
      <c r="T10">
        <f t="shared" ref="T10:T18" si="7">LN(P10)</f>
        <v>1.4701758451005926</v>
      </c>
    </row>
    <row r="11" spans="1:20" x14ac:dyDescent="0.3">
      <c r="B11">
        <v>1.63</v>
      </c>
      <c r="C11">
        <f t="shared" si="0"/>
        <v>6</v>
      </c>
      <c r="D11">
        <f t="shared" si="1"/>
        <v>0.54545454545454541</v>
      </c>
      <c r="E11">
        <f t="shared" si="2"/>
        <v>0.11418529432142825</v>
      </c>
      <c r="F11">
        <f t="shared" si="3"/>
        <v>0.48858001481867092</v>
      </c>
      <c r="P11">
        <v>2.67</v>
      </c>
      <c r="Q11">
        <f t="shared" si="4"/>
        <v>4.5</v>
      </c>
      <c r="R11">
        <f t="shared" si="5"/>
        <v>0.40909090909090912</v>
      </c>
      <c r="S11">
        <f t="shared" si="6"/>
        <v>-0.22988411757923208</v>
      </c>
      <c r="T11">
        <f t="shared" si="7"/>
        <v>0.98207847241215818</v>
      </c>
    </row>
    <row r="12" spans="1:20" x14ac:dyDescent="0.3">
      <c r="B12">
        <v>1.39</v>
      </c>
      <c r="C12">
        <f t="shared" si="0"/>
        <v>3</v>
      </c>
      <c r="D12">
        <f t="shared" si="1"/>
        <v>0.27272727272727271</v>
      </c>
      <c r="E12">
        <f t="shared" si="2"/>
        <v>-0.60458534658323715</v>
      </c>
      <c r="F12">
        <f t="shared" si="3"/>
        <v>0.3293037471426003</v>
      </c>
      <c r="P12">
        <v>3.27</v>
      </c>
      <c r="Q12">
        <f t="shared" si="4"/>
        <v>7</v>
      </c>
      <c r="R12">
        <f t="shared" si="5"/>
        <v>0.63636363636363635</v>
      </c>
      <c r="S12">
        <f t="shared" si="6"/>
        <v>0.34875569551704472</v>
      </c>
      <c r="T12">
        <f t="shared" si="7"/>
        <v>1.1847899849091621</v>
      </c>
    </row>
    <row r="13" spans="1:20" x14ac:dyDescent="0.3">
      <c r="B13">
        <v>1.58</v>
      </c>
      <c r="C13">
        <f t="shared" si="0"/>
        <v>5</v>
      </c>
      <c r="D13">
        <f t="shared" si="1"/>
        <v>0.45454545454545453</v>
      </c>
      <c r="E13">
        <f t="shared" si="2"/>
        <v>-0.11418529432142839</v>
      </c>
      <c r="F13">
        <f t="shared" si="3"/>
        <v>0.45742484703887548</v>
      </c>
      <c r="P13">
        <v>1.75</v>
      </c>
      <c r="Q13">
        <f t="shared" si="4"/>
        <v>2</v>
      </c>
      <c r="R13">
        <f t="shared" si="5"/>
        <v>0.18181818181818182</v>
      </c>
      <c r="S13">
        <f t="shared" si="6"/>
        <v>-0.9084578685373853</v>
      </c>
      <c r="T13">
        <f t="shared" si="7"/>
        <v>0.55961578793542266</v>
      </c>
    </row>
    <row r="14" spans="1:20" x14ac:dyDescent="0.3">
      <c r="B14">
        <v>3.04</v>
      </c>
      <c r="C14">
        <f t="shared" si="0"/>
        <v>8</v>
      </c>
      <c r="D14">
        <f t="shared" si="1"/>
        <v>0.72727272727272729</v>
      </c>
      <c r="E14">
        <f>_xlfn.NORM.S.INV(D14)</f>
        <v>0.60458534658323715</v>
      </c>
      <c r="F14">
        <f t="shared" si="3"/>
        <v>1.1118575154181303</v>
      </c>
      <c r="P14">
        <v>4.2699999999999996</v>
      </c>
      <c r="Q14">
        <f t="shared" si="4"/>
        <v>9</v>
      </c>
      <c r="R14">
        <f t="shared" si="5"/>
        <v>0.81818181818181823</v>
      </c>
      <c r="S14">
        <f t="shared" si="6"/>
        <v>0.90845786853738464</v>
      </c>
      <c r="T14">
        <f t="shared" si="7"/>
        <v>1.451613827240533</v>
      </c>
    </row>
    <row r="15" spans="1:20" x14ac:dyDescent="0.3">
      <c r="B15">
        <v>1.49</v>
      </c>
      <c r="C15">
        <f t="shared" si="0"/>
        <v>4</v>
      </c>
      <c r="D15">
        <f t="shared" si="1"/>
        <v>0.36363636363636365</v>
      </c>
      <c r="E15">
        <f>_xlfn.NORM.S.INV(D15)</f>
        <v>-0.34875569551704472</v>
      </c>
      <c r="F15">
        <f t="shared" si="3"/>
        <v>0.39877611995736778</v>
      </c>
      <c r="P15">
        <v>4.1900000000000004</v>
      </c>
      <c r="Q15">
        <f t="shared" si="4"/>
        <v>8</v>
      </c>
      <c r="R15">
        <f t="shared" si="5"/>
        <v>0.72727272727272729</v>
      </c>
      <c r="S15">
        <f t="shared" si="6"/>
        <v>0.60458534658323715</v>
      </c>
      <c r="T15">
        <f t="shared" si="7"/>
        <v>1.4327007339340465</v>
      </c>
    </row>
    <row r="16" spans="1:20" x14ac:dyDescent="0.3">
      <c r="B16">
        <v>1.79</v>
      </c>
      <c r="C16">
        <f t="shared" si="0"/>
        <v>7</v>
      </c>
      <c r="D16">
        <f t="shared" si="1"/>
        <v>0.63636363636363635</v>
      </c>
      <c r="E16">
        <f>_xlfn.NORM.S.INV(D16)</f>
        <v>0.34875569551704472</v>
      </c>
      <c r="F16">
        <f t="shared" si="3"/>
        <v>0.58221561985266368</v>
      </c>
      <c r="P16">
        <v>2.67</v>
      </c>
      <c r="Q16">
        <f t="shared" si="4"/>
        <v>4.5</v>
      </c>
      <c r="R16">
        <f t="shared" si="5"/>
        <v>0.40909090909090912</v>
      </c>
      <c r="S16">
        <f t="shared" si="6"/>
        <v>-0.22988411757923208</v>
      </c>
      <c r="T16">
        <f t="shared" si="7"/>
        <v>0.98207847241215818</v>
      </c>
    </row>
    <row r="17" spans="2:20" x14ac:dyDescent="0.3">
      <c r="B17">
        <v>3.89</v>
      </c>
      <c r="C17">
        <f t="shared" si="0"/>
        <v>9</v>
      </c>
      <c r="D17">
        <f t="shared" si="1"/>
        <v>0.81818181818181823</v>
      </c>
      <c r="E17">
        <f t="shared" si="2"/>
        <v>0.90845786853738464</v>
      </c>
      <c r="F17">
        <f t="shared" si="3"/>
        <v>1.358409157630355</v>
      </c>
      <c r="P17">
        <v>1.04</v>
      </c>
      <c r="Q17">
        <f t="shared" si="4"/>
        <v>1</v>
      </c>
      <c r="R17">
        <f t="shared" si="5"/>
        <v>9.0909090909090912E-2</v>
      </c>
      <c r="S17">
        <f t="shared" si="6"/>
        <v>-1.3351777361189361</v>
      </c>
      <c r="T17">
        <f t="shared" si="7"/>
        <v>3.9220713153281329E-2</v>
      </c>
    </row>
    <row r="18" spans="2:20" x14ac:dyDescent="0.3">
      <c r="B18">
        <v>0.98</v>
      </c>
      <c r="C18">
        <f t="shared" si="0"/>
        <v>2</v>
      </c>
      <c r="D18">
        <f t="shared" si="1"/>
        <v>0.18181818181818182</v>
      </c>
      <c r="E18">
        <f t="shared" si="2"/>
        <v>-0.9084578685373853</v>
      </c>
      <c r="F18">
        <f t="shared" si="3"/>
        <v>-2.0202707317519466E-2</v>
      </c>
      <c r="P18">
        <v>1.93</v>
      </c>
      <c r="Q18">
        <f t="shared" si="4"/>
        <v>3</v>
      </c>
      <c r="R18">
        <f t="shared" si="5"/>
        <v>0.27272727272727271</v>
      </c>
      <c r="S18">
        <f t="shared" si="6"/>
        <v>-0.60458534658323715</v>
      </c>
      <c r="T18">
        <f t="shared" si="7"/>
        <v>0.65752000291679413</v>
      </c>
    </row>
    <row r="21" spans="2:20" x14ac:dyDescent="0.3">
      <c r="B21" s="2" t="s">
        <v>6</v>
      </c>
    </row>
    <row r="33" spans="2:14" x14ac:dyDescent="0.3">
      <c r="N33" s="2" t="s">
        <v>12</v>
      </c>
    </row>
    <row r="34" spans="2:14" x14ac:dyDescent="0.3">
      <c r="N34" t="s">
        <v>13</v>
      </c>
    </row>
    <row r="35" spans="2:14" x14ac:dyDescent="0.3">
      <c r="N35" s="2" t="s">
        <v>14</v>
      </c>
    </row>
    <row r="36" spans="2:14" x14ac:dyDescent="0.3">
      <c r="B36" s="2" t="s">
        <v>9</v>
      </c>
      <c r="N36" t="s">
        <v>15</v>
      </c>
    </row>
    <row r="39" spans="2:14" x14ac:dyDescent="0.3">
      <c r="B39" t="s">
        <v>16</v>
      </c>
    </row>
    <row r="40" spans="2:14" x14ac:dyDescent="0.3">
      <c r="B40" t="s">
        <v>17</v>
      </c>
      <c r="G40" t="s">
        <v>29</v>
      </c>
    </row>
    <row r="42" spans="2:14" x14ac:dyDescent="0.3">
      <c r="B42" s="3" t="s">
        <v>18</v>
      </c>
      <c r="C42" s="4"/>
      <c r="D42" s="4"/>
      <c r="E42" s="5"/>
      <c r="G42" s="3" t="s">
        <v>23</v>
      </c>
      <c r="H42" s="4"/>
      <c r="I42" s="5"/>
    </row>
    <row r="43" spans="2:14" x14ac:dyDescent="0.3">
      <c r="B43" s="6" t="s">
        <v>19</v>
      </c>
      <c r="C43" s="7" t="s">
        <v>20</v>
      </c>
      <c r="D43" s="7" t="s">
        <v>21</v>
      </c>
      <c r="E43" s="8" t="s">
        <v>22</v>
      </c>
      <c r="G43" s="6" t="s">
        <v>24</v>
      </c>
      <c r="H43" s="7" t="s">
        <v>25</v>
      </c>
      <c r="I43" s="8" t="s">
        <v>32</v>
      </c>
    </row>
    <row r="44" spans="2:14" x14ac:dyDescent="0.3">
      <c r="B44" s="6">
        <v>1</v>
      </c>
      <c r="C44" s="7">
        <v>1</v>
      </c>
      <c r="D44" s="7">
        <v>1</v>
      </c>
      <c r="E44" s="8">
        <f>AVERAGE(C44:D44)</f>
        <v>1</v>
      </c>
      <c r="G44" s="6">
        <v>1</v>
      </c>
      <c r="H44" s="7" t="s">
        <v>26</v>
      </c>
      <c r="I44" s="12" t="s">
        <v>34</v>
      </c>
    </row>
    <row r="45" spans="2:14" x14ac:dyDescent="0.3">
      <c r="B45" s="6">
        <v>2</v>
      </c>
      <c r="C45" s="7">
        <v>1</v>
      </c>
      <c r="D45" s="7">
        <v>3</v>
      </c>
      <c r="E45" s="8">
        <f t="shared" ref="E45:E52" si="8">AVERAGE(C45:D45)</f>
        <v>2</v>
      </c>
      <c r="G45" s="6">
        <v>2</v>
      </c>
      <c r="H45" s="7" t="s">
        <v>27</v>
      </c>
      <c r="I45" s="13" t="s">
        <v>35</v>
      </c>
    </row>
    <row r="46" spans="2:14" x14ac:dyDescent="0.3">
      <c r="B46" s="6">
        <v>3</v>
      </c>
      <c r="C46" s="7">
        <v>1</v>
      </c>
      <c r="D46" s="7">
        <v>5</v>
      </c>
      <c r="E46" s="8">
        <f t="shared" si="8"/>
        <v>3</v>
      </c>
      <c r="G46" s="6">
        <v>3</v>
      </c>
      <c r="H46" s="7" t="s">
        <v>28</v>
      </c>
      <c r="I46" s="13" t="s">
        <v>33</v>
      </c>
    </row>
    <row r="47" spans="2:14" x14ac:dyDescent="0.3">
      <c r="B47" s="6">
        <v>4</v>
      </c>
      <c r="C47" s="7">
        <v>3</v>
      </c>
      <c r="D47" s="7">
        <v>1</v>
      </c>
      <c r="E47" s="8">
        <f t="shared" si="8"/>
        <v>2</v>
      </c>
      <c r="G47" s="6">
        <v>4</v>
      </c>
      <c r="H47" s="7" t="s">
        <v>27</v>
      </c>
      <c r="I47" s="13" t="s">
        <v>35</v>
      </c>
    </row>
    <row r="48" spans="2:14" x14ac:dyDescent="0.3">
      <c r="B48" s="6">
        <v>5</v>
      </c>
      <c r="C48" s="7">
        <v>3</v>
      </c>
      <c r="D48" s="7">
        <v>3</v>
      </c>
      <c r="E48" s="8">
        <f t="shared" si="8"/>
        <v>3</v>
      </c>
      <c r="G48" s="6">
        <v>5</v>
      </c>
      <c r="H48" s="7" t="s">
        <v>26</v>
      </c>
      <c r="I48" s="13" t="s">
        <v>34</v>
      </c>
    </row>
    <row r="49" spans="2:9" x14ac:dyDescent="0.3">
      <c r="B49" s="6">
        <v>6</v>
      </c>
      <c r="C49" s="7">
        <v>3</v>
      </c>
      <c r="D49" s="7">
        <v>5</v>
      </c>
      <c r="E49" s="8">
        <f t="shared" si="8"/>
        <v>4</v>
      </c>
      <c r="G49" s="6" t="s">
        <v>30</v>
      </c>
      <c r="H49" s="7" t="s">
        <v>31</v>
      </c>
      <c r="I49" s="13" t="s">
        <v>36</v>
      </c>
    </row>
    <row r="50" spans="2:9" x14ac:dyDescent="0.3">
      <c r="B50" s="6">
        <v>7</v>
      </c>
      <c r="C50" s="7">
        <v>5</v>
      </c>
      <c r="D50" s="7">
        <v>1</v>
      </c>
      <c r="E50" s="8">
        <f t="shared" si="8"/>
        <v>3</v>
      </c>
      <c r="G50" s="6"/>
      <c r="H50" s="7"/>
      <c r="I50" s="8"/>
    </row>
    <row r="51" spans="2:9" x14ac:dyDescent="0.3">
      <c r="B51" s="6">
        <v>8</v>
      </c>
      <c r="C51" s="7">
        <v>5</v>
      </c>
      <c r="D51" s="7">
        <v>3</v>
      </c>
      <c r="E51" s="8">
        <f t="shared" si="8"/>
        <v>4</v>
      </c>
      <c r="G51" s="6"/>
      <c r="H51" s="7"/>
      <c r="I51" s="8"/>
    </row>
    <row r="52" spans="2:9" x14ac:dyDescent="0.3">
      <c r="B52" s="9">
        <v>9</v>
      </c>
      <c r="C52" s="10">
        <v>5</v>
      </c>
      <c r="D52" s="10">
        <v>5</v>
      </c>
      <c r="E52" s="11">
        <f t="shared" si="8"/>
        <v>5</v>
      </c>
      <c r="G52" s="9"/>
      <c r="H52" s="10"/>
      <c r="I52" s="1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이지형</dc:creator>
  <cp:lastModifiedBy>이지형</cp:lastModifiedBy>
  <dcterms:created xsi:type="dcterms:W3CDTF">2026-05-10T17:04:00Z</dcterms:created>
  <dcterms:modified xsi:type="dcterms:W3CDTF">2026-05-10T17:48:41Z</dcterms:modified>
</cp:coreProperties>
</file>