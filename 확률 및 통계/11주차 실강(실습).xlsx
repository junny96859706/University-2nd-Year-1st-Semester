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2학년1학기\확률 및 통계\"/>
    </mc:Choice>
  </mc:AlternateContent>
  <xr:revisionPtr revIDLastSave="0" documentId="8_{BB4B5DD6-6553-440D-8F1A-3E9907D80442}" xr6:coauthVersionLast="47" xr6:coauthVersionMax="47" xr10:uidLastSave="{00000000-0000-0000-0000-000000000000}"/>
  <bookViews>
    <workbookView xWindow="-108" yWindow="-108" windowWidth="23256" windowHeight="13896" xr2:uid="{364B286D-AB1E-4AD1-990F-E44021504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D9" i="1"/>
  <c r="D8" i="1"/>
  <c r="C8" i="1"/>
  <c r="C10" i="1"/>
  <c r="C9" i="1"/>
</calcChain>
</file>

<file path=xl/sharedStrings.xml><?xml version="1.0" encoding="utf-8"?>
<sst xmlns="http://schemas.openxmlformats.org/spreadsheetml/2006/main" count="34" uniqueCount="32">
  <si>
    <t>가설</t>
    <phoneticPr fontId="1" type="noConversion"/>
  </si>
  <si>
    <t>H0</t>
    <phoneticPr fontId="1" type="noConversion"/>
  </si>
  <si>
    <t>H1</t>
    <phoneticPr fontId="1" type="noConversion"/>
  </si>
  <si>
    <t>n</t>
    <phoneticPr fontId="1" type="noConversion"/>
  </si>
  <si>
    <t>Xbar</t>
    <phoneticPr fontId="1" type="noConversion"/>
  </si>
  <si>
    <t>s</t>
    <phoneticPr fontId="1" type="noConversion"/>
  </si>
  <si>
    <t>alpha</t>
    <phoneticPr fontId="1" type="noConversion"/>
  </si>
  <si>
    <t>mu=</t>
    <phoneticPr fontId="1" type="noConversion"/>
  </si>
  <si>
    <t>mu&gt;</t>
    <phoneticPr fontId="1" type="noConversion"/>
  </si>
  <si>
    <t>Z0.05</t>
    <phoneticPr fontId="1" type="noConversion"/>
  </si>
  <si>
    <t>Z</t>
    <phoneticPr fontId="1" type="noConversion"/>
  </si>
  <si>
    <t>p-value</t>
    <phoneticPr fontId="1" type="noConversion"/>
  </si>
  <si>
    <t>not 1.2</t>
    <phoneticPr fontId="1" type="noConversion"/>
  </si>
  <si>
    <t>실습27페이지</t>
  </si>
  <si>
    <t>실습27페이지</t>
    <phoneticPr fontId="1" type="noConversion"/>
  </si>
  <si>
    <t>키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</si>
  <si>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</si>
  <si>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</si>
  <si>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</si>
  <si>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</si>
  <si>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</si>
  <si>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</si>
  <si>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</si>
  <si>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</si>
  <si>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</si>
  <si>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</si>
  <si>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</si>
  <si>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</si>
  <si>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</si>
  <si>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s/sqrt(n)</t>
    <phoneticPr fontId="1" type="noConversion"/>
  </si>
  <si>
    <t>xbar</t>
    <phoneticPr fontId="1" type="noConversion"/>
  </si>
  <si>
    <t>s^2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</si>
</sst>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05A-7BE8-4511-9735-8C1457229524}">
  <dimension ref="A1:K31"/>
  <sheetViews>
    <sheetView tabSelected="1" workbookViewId="0">
      <selection activeCell="K12" sqref="K12"/>
    </sheetView>
  </sheetViews>
  <sheetFormatPr defaultRowHeight="17.399999999999999" x14ac:dyDescent="0.4"/>
  <cols>
    <col min="2" max="2" width="7.796875" customWidth="1"/>
    <col min="3" max="4" width="11.796875" customWidth="1"/>
  </cols>
  <sheetData>
    <row r="1" spans="1:11" x14ac:dyDescent="0.4">
      <c r="A1" t="s">
        <v>0</v>
      </c>
      <c r="C1" t="s">
        <v>14</v>
      </c>
      <c r="D1" t="s">
        <v>13</v>
      </c>
      <c r="G1" t="s">
        <v>15</v>
      </c>
    </row>
    <row r="2" spans="1:11" x14ac:dyDescent="0.4">
      <c r="A2" t="s">
        <v>1</v>
      </c>
      <c r="B2" t="s">
        <v>7</v>
      </c>
      <c r="C2">
        <v>10</v>
      </c>
      <c r="D2">
        <v>1.2</v>
      </c>
      <c r="G2">
        <v>163</v>
      </c>
    </row>
    <row r="3" spans="1:11" ht="18" thickBot="1" x14ac:dyDescent="0.45">
      <c r="A3" t="s">
        <v>2</v>
      </c>
      <c r="B3" t="s">
        <v>8</v>
      </c>
      <c r="C3">
        <v>10</v>
      </c>
      <c r="D3" t="s">
        <v>12</v>
      </c>
      <c r="G3">
        <v>161</v>
      </c>
    </row>
    <row r="4" spans="1:11" x14ac:dyDescent="0.4">
      <c r="A4" t="s">
        <v>3</v>
      </c>
      <c r="C4">
        <v>56</v>
      </c>
      <c r="D4">
        <v>36</v>
      </c>
      <c r="G4">
        <v>168</v>
      </c>
      <c r="I4" s="3" t="s">
        <v>15</v>
      </c>
      <c r="J4" s="3"/>
    </row>
    <row r="5" spans="1:11" x14ac:dyDescent="0.4">
      <c r="A5" t="s">
        <v>4</v>
      </c>
      <c r="C5">
        <v>10.5</v>
      </c>
      <c r="D5">
        <v>1.22</v>
      </c>
      <c r="G5">
        <v>161</v>
      </c>
      <c r="I5" s="1"/>
      <c r="J5" s="1"/>
    </row>
    <row r="6" spans="1:11" x14ac:dyDescent="0.4">
      <c r="A6" t="s">
        <v>5</v>
      </c>
      <c r="C6">
        <v>4.5</v>
      </c>
      <c r="D6">
        <v>0.16</v>
      </c>
      <c r="G6">
        <v>157</v>
      </c>
      <c r="I6" s="1" t="s">
        <v>16</v>
      </c>
      <c r="J6" s="1">
        <v>160.19999999999999</v>
      </c>
      <c r="K6" t="s">
        <v>30</v>
      </c>
    </row>
    <row r="7" spans="1:11" x14ac:dyDescent="0.4">
      <c r="A7" t="s">
        <v>6</v>
      </c>
      <c r="B7">
        <v>0.05</v>
      </c>
      <c r="D7">
        <v>0.05</v>
      </c>
      <c r="G7">
        <v>162</v>
      </c>
      <c r="I7" s="1" t="s">
        <v>17</v>
      </c>
      <c r="J7" s="1">
        <v>1.0937649834770078</v>
      </c>
      <c r="K7" t="s">
        <v>29</v>
      </c>
    </row>
    <row r="8" spans="1:11" x14ac:dyDescent="0.4">
      <c r="A8" t="s">
        <v>9</v>
      </c>
      <c r="C8">
        <f>_xlfn.NORM.S.INV(0.95)</f>
        <v>1.6448536269514715</v>
      </c>
      <c r="D8">
        <f>_xlfn.NORM.S.INV(0.975)</f>
        <v>1.9599639845400536</v>
      </c>
      <c r="G8">
        <v>153</v>
      </c>
      <c r="I8" s="1" t="s">
        <v>18</v>
      </c>
      <c r="J8" s="1">
        <v>161</v>
      </c>
    </row>
    <row r="9" spans="1:11" x14ac:dyDescent="0.4">
      <c r="A9" t="s">
        <v>10</v>
      </c>
      <c r="C9">
        <f>(C5-C2)/(C6/SQRT(C4))</f>
        <v>0.8314794192830981</v>
      </c>
      <c r="D9">
        <f>(D5-D2)/(D6/SQRT(D4))</f>
        <v>0.75000000000000067</v>
      </c>
      <c r="G9">
        <v>159</v>
      </c>
      <c r="I9" s="1" t="s">
        <v>19</v>
      </c>
      <c r="J9" s="1">
        <v>168</v>
      </c>
    </row>
    <row r="10" spans="1:11" x14ac:dyDescent="0.4">
      <c r="A10" t="s">
        <v>11</v>
      </c>
      <c r="C10">
        <f>1-_xlfn.NORM.S.DIST(C9,1)</f>
        <v>0.2028514249796306</v>
      </c>
      <c r="D10">
        <f>2*(1-_xlfn.NORM.S.DIST(D9,1))</f>
        <v>0.45325470475373608</v>
      </c>
      <c r="G10">
        <v>164</v>
      </c>
      <c r="I10" s="1" t="s">
        <v>20</v>
      </c>
      <c r="J10" s="1">
        <v>5.9907975405962244</v>
      </c>
      <c r="K10" t="s">
        <v>5</v>
      </c>
    </row>
    <row r="11" spans="1:11" x14ac:dyDescent="0.4">
      <c r="G11">
        <v>170</v>
      </c>
      <c r="I11" s="1" t="s">
        <v>21</v>
      </c>
      <c r="J11" s="1">
        <v>35.889655172413775</v>
      </c>
      <c r="K11" t="s">
        <v>31</v>
      </c>
    </row>
    <row r="12" spans="1:11" x14ac:dyDescent="0.4">
      <c r="G12">
        <v>152</v>
      </c>
      <c r="I12" s="1" t="s">
        <v>22</v>
      </c>
      <c r="J12" s="1">
        <v>-1.0405127238989724</v>
      </c>
    </row>
    <row r="13" spans="1:11" x14ac:dyDescent="0.4">
      <c r="G13">
        <v>160</v>
      </c>
      <c r="I13" s="1" t="s">
        <v>23</v>
      </c>
      <c r="J13" s="1">
        <v>-0.1877673984186253</v>
      </c>
    </row>
    <row r="14" spans="1:11" x14ac:dyDescent="0.4">
      <c r="G14">
        <v>157</v>
      </c>
      <c r="I14" s="1" t="s">
        <v>24</v>
      </c>
      <c r="J14" s="1">
        <v>20</v>
      </c>
    </row>
    <row r="15" spans="1:11" x14ac:dyDescent="0.4">
      <c r="G15">
        <v>168</v>
      </c>
      <c r="I15" s="1" t="s">
        <v>25</v>
      </c>
      <c r="J15" s="1">
        <v>150</v>
      </c>
    </row>
    <row r="16" spans="1:11" x14ac:dyDescent="0.4">
      <c r="G16">
        <v>150</v>
      </c>
      <c r="I16" s="1" t="s">
        <v>26</v>
      </c>
      <c r="J16" s="1">
        <v>170</v>
      </c>
    </row>
    <row r="17" spans="7:10" x14ac:dyDescent="0.4">
      <c r="G17">
        <v>165</v>
      </c>
      <c r="I17" s="1" t="s">
        <v>27</v>
      </c>
      <c r="J17" s="1">
        <v>4806</v>
      </c>
    </row>
    <row r="18" spans="7:10" ht="18" thickBot="1" x14ac:dyDescent="0.45">
      <c r="G18">
        <v>156</v>
      </c>
      <c r="I18" s="2" t="s">
        <v>28</v>
      </c>
      <c r="J18" s="2">
        <v>30</v>
      </c>
    </row>
    <row r="19" spans="7:10" x14ac:dyDescent="0.4">
      <c r="G19">
        <v>151</v>
      </c>
    </row>
    <row r="20" spans="7:10" x14ac:dyDescent="0.4">
      <c r="G20">
        <v>162</v>
      </c>
    </row>
    <row r="21" spans="7:10" x14ac:dyDescent="0.4">
      <c r="G21">
        <v>150</v>
      </c>
    </row>
    <row r="22" spans="7:10" x14ac:dyDescent="0.4">
      <c r="G22">
        <v>156</v>
      </c>
    </row>
    <row r="23" spans="7:10" x14ac:dyDescent="0.4">
      <c r="G23">
        <v>152</v>
      </c>
    </row>
    <row r="24" spans="7:10" x14ac:dyDescent="0.4">
      <c r="G24">
        <v>161</v>
      </c>
    </row>
    <row r="25" spans="7:10" x14ac:dyDescent="0.4">
      <c r="G25">
        <v>165</v>
      </c>
    </row>
    <row r="26" spans="7:10" x14ac:dyDescent="0.4">
      <c r="G26">
        <v>168</v>
      </c>
    </row>
    <row r="27" spans="7:10" x14ac:dyDescent="0.4">
      <c r="G27">
        <v>167</v>
      </c>
    </row>
    <row r="28" spans="7:10" x14ac:dyDescent="0.4">
      <c r="G28">
        <v>165</v>
      </c>
    </row>
    <row r="29" spans="7:10" x14ac:dyDescent="0.4">
      <c r="G29">
        <v>168</v>
      </c>
    </row>
    <row r="30" spans="7:10" x14ac:dyDescent="0.4">
      <c r="G30">
        <v>159</v>
      </c>
    </row>
    <row r="31" spans="7:10" x14ac:dyDescent="0.4">
      <c r="G31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2026-05-18T06:44:19Z</dcterms:created>
  <dcterms:modified xsi:type="dcterms:W3CDTF">2026-05-18T07:16:16Z</dcterms:modified>
</cp:coreProperties>
</file>