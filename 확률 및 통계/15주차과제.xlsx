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바탕 화면\University-2nd-Year-1st-Semester\확률 및 통계\"/>
    </mc:Choice>
  </mc:AlternateContent>
  <xr:revisionPtr revIDLastSave="0" documentId="8_{B3260D8C-74CA-43B6-9262-D380A446FA6B}" xr6:coauthVersionLast="47" xr6:coauthVersionMax="47" xr10:uidLastSave="{00000000-0000-0000-0000-000000000000}"/>
  <bookViews>
    <workbookView xWindow="19095" yWindow="0" windowWidth="19410" windowHeight="20985" activeTab="2" xr2:uid="{D009D6C8-6A86-4B4E-B9C2-8BF5648E1CA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2" l="1"/>
  <c r="H4" i="2"/>
  <c r="H5" i="2"/>
  <c r="H2" i="2"/>
  <c r="G3" i="2"/>
  <c r="G4" i="2"/>
  <c r="G5" i="2"/>
  <c r="G2" i="2"/>
  <c r="D6" i="2"/>
  <c r="C6" i="2"/>
  <c r="B6" i="2"/>
  <c r="C3" i="1"/>
  <c r="C4" i="1"/>
  <c r="C5" i="1"/>
  <c r="C2" i="1"/>
</calcChain>
</file>

<file path=xl/sharedStrings.xml><?xml version="1.0" encoding="utf-8"?>
<sst xmlns="http://schemas.openxmlformats.org/spreadsheetml/2006/main" count="31" uniqueCount="20">
  <si>
    <t>기대도수</t>
    <phoneticPr fontId="1" type="noConversion"/>
  </si>
  <si>
    <t>살충제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</si>
  <si>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</si>
  <si>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</si>
  <si>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</si>
  <si>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</si>
  <si>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죽은수</t>
    <phoneticPr fontId="1" type="noConversion"/>
  </si>
  <si>
    <t>살아남은수</t>
    <phoneticPr fontId="1" type="noConversion"/>
  </si>
  <si>
    <t>집단의크기</t>
    <phoneticPr fontId="1" type="noConversion"/>
  </si>
  <si>
    <t>죽은수기대값</t>
    <phoneticPr fontId="1" type="noConversion"/>
  </si>
  <si>
    <t>살아남은수 기대값</t>
    <phoneticPr fontId="1" type="noConversion"/>
  </si>
  <si>
    <t>합계</t>
    <phoneticPr fontId="1" type="noConversion"/>
  </si>
  <si>
    <t>집단</t>
    <phoneticPr fontId="1" type="noConversion"/>
  </si>
  <si>
    <t>뛰어남</t>
    <phoneticPr fontId="1" type="noConversion"/>
  </si>
  <si>
    <t>보통</t>
    <phoneticPr fontId="1" type="noConversion"/>
  </si>
  <si>
    <t>떨어짐</t>
    <phoneticPr fontId="1" type="noConversion"/>
  </si>
  <si>
    <t>일을계속한다</t>
    <phoneticPr fontId="1" type="noConversion"/>
  </si>
  <si>
    <t>일을 그만둔다</t>
    <phoneticPr fontId="1" type="noConversion"/>
  </si>
  <si>
    <t>계속한다 기대값</t>
    <phoneticPr fontId="1" type="noConversion"/>
  </si>
  <si>
    <t>그만둔다 기대값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</si>
</sst>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4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2677-0542-4FEC-A972-CCC301F99EA8}">
  <dimension ref="A1:C5"/>
  <sheetViews>
    <sheetView workbookViewId="0">
      <selection activeCell="C32" sqref="C32"/>
    </sheetView>
  </sheetViews>
  <sheetFormatPr defaultRowHeight="16.5" x14ac:dyDescent="0.3"/>
  <sheetData>
    <row r="1" spans="1:3" x14ac:dyDescent="0.3">
      <c r="C1" t="s">
        <v>0</v>
      </c>
    </row>
    <row r="2" spans="1:3" x14ac:dyDescent="0.3">
      <c r="A2">
        <v>0</v>
      </c>
      <c r="B2">
        <v>19</v>
      </c>
      <c r="C2">
        <f>80*_xlfn.BINOM.DIST(A2,3,0.4,FALSE)</f>
        <v>17.279999999999998</v>
      </c>
    </row>
    <row r="3" spans="1:3" x14ac:dyDescent="0.3">
      <c r="A3">
        <v>1</v>
      </c>
      <c r="B3">
        <v>32</v>
      </c>
      <c r="C3">
        <f t="shared" ref="C3:C5" si="0">80*_xlfn.BINOM.DIST(A3,3,0.4,FALSE)</f>
        <v>34.56</v>
      </c>
    </row>
    <row r="4" spans="1:3" x14ac:dyDescent="0.3">
      <c r="A4">
        <v>2</v>
      </c>
      <c r="B4">
        <v>22</v>
      </c>
      <c r="C4">
        <f t="shared" si="0"/>
        <v>23.040000000000003</v>
      </c>
    </row>
    <row r="5" spans="1:3" x14ac:dyDescent="0.3">
      <c r="A5">
        <v>3</v>
      </c>
      <c r="B5">
        <v>7</v>
      </c>
      <c r="C5">
        <f t="shared" si="0"/>
        <v>5.120000000000001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EEA3-1F09-4DA6-A818-5300958B8A73}">
  <dimension ref="A1:H6"/>
  <sheetViews>
    <sheetView workbookViewId="0">
      <selection activeCell="H9" sqref="H9"/>
    </sheetView>
  </sheetViews>
  <sheetFormatPr defaultRowHeight="16.5" x14ac:dyDescent="0.3"/>
  <cols>
    <col min="3" max="3" width="11.5" customWidth="1"/>
    <col min="7" max="7" width="12.625" customWidth="1"/>
    <col min="8" max="8" width="17.75" customWidth="1"/>
  </cols>
  <sheetData>
    <row r="1" spans="1:8" x14ac:dyDescent="0.3">
      <c r="A1" s="1" t="s">
        <v>1</v>
      </c>
      <c r="B1" s="2" t="s">
        <v>6</v>
      </c>
      <c r="C1" s="2" t="s">
        <v>7</v>
      </c>
      <c r="D1" s="3" t="s">
        <v>8</v>
      </c>
      <c r="F1" s="1" t="s">
        <v>1</v>
      </c>
      <c r="G1" s="2" t="s">
        <v>9</v>
      </c>
      <c r="H1" s="3" t="s">
        <v>10</v>
      </c>
    </row>
    <row r="2" spans="1:8" x14ac:dyDescent="0.3">
      <c r="A2" s="4" t="s">
        <v>2</v>
      </c>
      <c r="B2" s="5">
        <v>58</v>
      </c>
      <c r="C2" s="5">
        <v>57</v>
      </c>
      <c r="D2" s="6">
        <v>115</v>
      </c>
      <c r="F2" s="4" t="s">
        <v>2</v>
      </c>
      <c r="G2" s="5">
        <f>B$6*D2/$D$6</f>
        <v>51.280353200882999</v>
      </c>
      <c r="H2" s="5">
        <f>D2*C$6/$D$6</f>
        <v>63.719646799117001</v>
      </c>
    </row>
    <row r="3" spans="1:8" x14ac:dyDescent="0.3">
      <c r="A3" s="4" t="s">
        <v>3</v>
      </c>
      <c r="B3" s="5">
        <v>43</v>
      </c>
      <c r="C3" s="5">
        <v>77</v>
      </c>
      <c r="D3" s="6">
        <v>120</v>
      </c>
      <c r="F3" s="4" t="s">
        <v>3</v>
      </c>
      <c r="G3" s="5">
        <f t="shared" ref="G3:H5" si="0">B$6*D3/$D$6</f>
        <v>53.509933774834437</v>
      </c>
      <c r="H3" s="5">
        <f t="shared" ref="H3:H5" si="1">D3*C$6/$D$6</f>
        <v>66.490066225165563</v>
      </c>
    </row>
    <row r="4" spans="1:8" x14ac:dyDescent="0.3">
      <c r="A4" s="4" t="s">
        <v>4</v>
      </c>
      <c r="B4" s="5">
        <v>56</v>
      </c>
      <c r="C4" s="5">
        <v>42</v>
      </c>
      <c r="D4" s="6">
        <v>98</v>
      </c>
      <c r="F4" s="4" t="s">
        <v>4</v>
      </c>
      <c r="G4" s="5">
        <f t="shared" si="0"/>
        <v>43.69977924944812</v>
      </c>
      <c r="H4" s="5">
        <f t="shared" si="1"/>
        <v>54.30022075055188</v>
      </c>
    </row>
    <row r="5" spans="1:8" x14ac:dyDescent="0.3">
      <c r="A5" s="7" t="s">
        <v>5</v>
      </c>
      <c r="B5" s="8">
        <v>45</v>
      </c>
      <c r="C5" s="8">
        <v>75</v>
      </c>
      <c r="D5" s="9">
        <v>120</v>
      </c>
      <c r="F5" s="7" t="s">
        <v>5</v>
      </c>
      <c r="G5" s="5">
        <f t="shared" si="0"/>
        <v>53.509933774834437</v>
      </c>
      <c r="H5" s="5">
        <f t="shared" si="1"/>
        <v>66.490066225165563</v>
      </c>
    </row>
    <row r="6" spans="1:8" x14ac:dyDescent="0.3">
      <c r="A6" s="10" t="s">
        <v>11</v>
      </c>
      <c r="B6">
        <f>SUM(B2:B5)</f>
        <v>202</v>
      </c>
      <c r="C6">
        <f>SUM(C2:C5)</f>
        <v>251</v>
      </c>
      <c r="D6">
        <f>SUM(D2:D5)</f>
        <v>453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3B67-7883-401D-96E1-51DE299584FE}">
  <dimension ref="A1:H5"/>
  <sheetViews>
    <sheetView tabSelected="1" workbookViewId="0">
      <selection activeCell="G2" sqref="G2"/>
    </sheetView>
  </sheetViews>
  <sheetFormatPr defaultRowHeight="16.5" x14ac:dyDescent="0.3"/>
  <cols>
    <col min="2" max="2" width="12.5" customWidth="1"/>
    <col min="3" max="3" width="13" customWidth="1"/>
    <col min="7" max="7" width="14.5" customWidth="1"/>
    <col min="8" max="8" width="16" customWidth="1"/>
  </cols>
  <sheetData>
    <row r="1" spans="1:8" x14ac:dyDescent="0.3">
      <c r="A1" s="1" t="s">
        <v>12</v>
      </c>
      <c r="B1" s="2" t="s">
        <v>16</v>
      </c>
      <c r="C1" s="2" t="s">
        <v>17</v>
      </c>
      <c r="D1" s="3" t="s">
        <v>11</v>
      </c>
      <c r="F1" t="s">
        <v>12</v>
      </c>
      <c r="G1" t="s">
        <v>18</v>
      </c>
      <c r="H1" t="s">
        <v>19</v>
      </c>
    </row>
    <row r="2" spans="1:8" x14ac:dyDescent="0.3">
      <c r="A2" s="4" t="s">
        <v>13</v>
      </c>
      <c r="B2" s="5">
        <v>9</v>
      </c>
      <c r="C2" s="5">
        <v>9</v>
      </c>
      <c r="D2" s="6">
        <v>18</v>
      </c>
      <c r="F2" t="s">
        <v>13</v>
      </c>
    </row>
    <row r="3" spans="1:8" x14ac:dyDescent="0.3">
      <c r="A3" s="4" t="s">
        <v>14</v>
      </c>
      <c r="B3" s="5">
        <v>8</v>
      </c>
      <c r="C3" s="5">
        <v>12</v>
      </c>
      <c r="D3" s="6">
        <v>20</v>
      </c>
      <c r="F3" t="s">
        <v>14</v>
      </c>
    </row>
    <row r="4" spans="1:8" x14ac:dyDescent="0.3">
      <c r="A4" s="4" t="s">
        <v>15</v>
      </c>
      <c r="B4" s="5">
        <v>3</v>
      </c>
      <c r="C4" s="5">
        <v>14</v>
      </c>
      <c r="D4" s="6">
        <v>17</v>
      </c>
      <c r="F4" t="s">
        <v>15</v>
      </c>
    </row>
    <row r="5" spans="1:8" x14ac:dyDescent="0.3">
      <c r="A5" s="7" t="s">
        <v>11</v>
      </c>
      <c r="B5" s="8">
        <v>20</v>
      </c>
      <c r="C5" s="8">
        <v>35</v>
      </c>
      <c r="D5" s="9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이지형</dc:creator>
  <cp:lastModifiedBy>이지형</cp:lastModifiedBy>
  <dcterms:created xsi:type="dcterms:W3CDTF">2026-06-14T20:21:04Z</dcterms:created>
  <dcterms:modified xsi:type="dcterms:W3CDTF">2026-06-14T21:10:52Z</dcterms:modified>
</cp:coreProperties>
</file>