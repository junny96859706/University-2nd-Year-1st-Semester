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8_{50ECF656-55A4-4E7E-A81C-E8F910F2DDA2}" xr6:coauthVersionLast="47" xr6:coauthVersionMax="47" xr10:uidLastSave="{00000000-0000-0000-0000-000000000000}"/>
  <bookViews>
    <workbookView xWindow="-108" yWindow="-108" windowWidth="23256" windowHeight="13896" xr2:uid="{53C73C84-6C17-4283-B22C-E0A04BEC1990}"/>
  </bookViews>
  <sheets>
    <sheet name="Sheet1" sheetId="1" r:id="rId1"/>
  </sheets>
  <definedNames>
    <definedName name="_xlchart.v1.0" hidden="1">Sheet1!$A$13:$A$52</definedName>
    <definedName name="_xlchart.v1.1" hidden="1">Sheet1!$A$13:$A$52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 a="1"/>
  <c r="A13" i="1" s="1"/>
  <c r="G12" i="1"/>
  <c r="G11" i="1"/>
  <c r="G10" i="1"/>
  <c r="G9" i="1"/>
  <c r="G8" i="1"/>
  <c r="G7" i="1"/>
  <c r="E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<sst xmlns="http://schemas.openxmlformats.org/spreadsheetml/2006/main" count="34" uniqueCount="34">
  <si>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중앙값</t>
  </si>
  <si>
    <t>1) 중앙값 사분위수를 계산하라</t>
    <phoneticPr fontId="1" type="noConversion"/>
  </si>
  <si>
    <t>2)제90백분위수를 구하라.</t>
    <phoneticPr fontId="1" type="noConversion"/>
  </si>
  <si>
    <t>3)평균과 표준편차를 구하라.</t>
    <phoneticPr fontId="1" type="noConversion"/>
  </si>
  <si>
    <t>4)상자그림을 그리고,자료의 분포상태를 해석하라.</t>
    <phoneticPr fontId="1" type="noConversion"/>
  </si>
  <si>
    <t>평균</t>
  </si>
  <si>
    <t>표준 오차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</si>
  <si>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</si>
  <si>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</si>
  <si>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</si>
  <si>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</si>
  <si>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</si>
  <si>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</si>
  <si>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</si>
  <si>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</si>
  <si>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</si>
  <si>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</si>
  <si>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중앙값:</t>
    <phoneticPr fontId="1" type="noConversion"/>
  </si>
  <si>
    <t>2사분위수:</t>
    <phoneticPr fontId="1" type="noConversion"/>
  </si>
  <si>
    <t>1사분위수:</t>
    <phoneticPr fontId="1" type="noConversion"/>
  </si>
  <si>
    <t>3사분위수:</t>
  </si>
  <si>
    <t>90백분위수:</t>
    <phoneticPr fontId="1" type="noConversion"/>
  </si>
  <si>
    <t>평균</t>
    <phoneticPr fontId="1" type="noConversion"/>
  </si>
  <si>
    <t>표준편차</t>
    <phoneticPr fontId="1" type="noConversion"/>
  </si>
  <si>
    <t>산성도</t>
    <phoneticPr fontId="1" type="noConversion"/>
  </si>
  <si>
    <t>일반적으로 PH가 5.6이하이면 산성비라고 할 수 있는데,</t>
    <phoneticPr fontId="1" type="noConversion"/>
  </si>
  <si>
    <t>산성비의 기준선인 PH5.6보다 휠씬 낮다는것을 알수있습니다.</t>
    <phoneticPr fontId="1" type="noConversion"/>
  </si>
  <si>
    <t>이는 해당지방에 내리는 비가 일시적이지 않는 산성비라는 사실을 알수있습니다</t>
    <phoneticPr fontId="1" type="noConversion"/>
  </si>
  <si>
    <t>또한 상자가 납작하여 전체데이터의 50%가 4.64~4.99 사이에 밀집해 있다는 의미입니다.</t>
    <phoneticPr fontId="1" type="noConversion"/>
  </si>
  <si>
    <t>현재 상자수염그림을 보면 중앙값(4.8)과 평균값(4.84)이 모두</t>
    <phoneticPr fontId="1" type="noConversion"/>
  </si>
  <si>
    <t>기술통계법</t>
    <phoneticPr fontId="1" type="noConversion"/>
  </si>
  <si>
    <t>중앙값이 상자의 아래쪽에 약간 더 가깝고, 평균값이 중앙값보다 조금 더 높으므로, 이는 데이터가 오른쪽으로 긴 꼬리를 가진 분포임을 의미합니다.</t>
    <phoneticPr fontId="1" type="noConversion"/>
  </si>
  <si>
    <t>낮은 값들은 촘촘히 모여 있고, 높은 값 쪽으로 데이터가 조금 더 퍼져 있는 형태라는것을 분석할수 있습니다.</t>
    <phoneticPr fontId="1" type="noConversion"/>
  </si>
  <si>
    <t>2371214 이지형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</si>
</sst>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"/>
    <numFmt numFmtId="181" formatCode="0.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3" xfId="0" applyFont="1" applyFill="1" applyBorder="1" applyAlignment="1">
      <alignment horizontal="centerContinuous"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PH 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분포도</a:t>
            </a:r>
            <a:endPara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96C4C534-5F80-45E5-83F2-0B90ADEAC473}">
          <cx:dataLabels>
            <cx:numFmt formatCode="#,##0.00_);[빨강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축정대상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ko-KR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맑은 고딕" panose="020B0503020000020004" pitchFamily="50" charset="-127"/>
                </a:rPr>
                <a:t>축정대상</a:t>
              </a:r>
            </a:p>
          </cx:txPr>
        </cx:title>
        <cx:tickLabels/>
      </cx:axis>
      <cx:axis id="1">
        <cx:valScaling min="4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ko-KR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맑은 고딕" panose="020B0503020000020004" pitchFamily="50" charset="-127"/>
                  </a:rPr>
                  <a:t>PH</a:t>
                </a:r>
                <a:r>
                  <a:rPr lang="ko-KR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맑은 고딕" panose="020B0503020000020004" pitchFamily="50" charset="-127"/>
                  </a:rPr>
                  <a:t>농도</a:t>
                </a: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38100</xdr:rowOff>
    </xdr:from>
    <xdr:to>
      <xdr:col>15</xdr:col>
      <xdr:colOff>110490</xdr:colOff>
      <xdr:row>12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2A89159D-1DA9-BD44-1C2F-DE486076B2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6890" y="38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C2C0-1E5F-43A3-A23E-C0DF2FE9C592}">
  <dimension ref="A1:S52"/>
  <sheetViews>
    <sheetView tabSelected="1" workbookViewId="0">
      <selection activeCell="Q8" sqref="Q8"/>
    </sheetView>
  </sheetViews>
  <sheetFormatPr defaultRowHeight="17.399999999999999" x14ac:dyDescent="0.4"/>
  <sheetData>
    <row r="1" spans="1:19" x14ac:dyDescent="0.4">
      <c r="A1">
        <v>4.8</v>
      </c>
      <c r="B1">
        <v>4.75</v>
      </c>
      <c r="C1">
        <v>4.92</v>
      </c>
      <c r="D1">
        <v>4.8</v>
      </c>
      <c r="E1">
        <v>5.8</v>
      </c>
      <c r="F1">
        <v>4.8</v>
      </c>
      <c r="G1">
        <v>4.3099999999999996</v>
      </c>
      <c r="H1">
        <v>5.5</v>
      </c>
    </row>
    <row r="2" spans="1:19" ht="27.6" x14ac:dyDescent="0.4">
      <c r="A2">
        <v>5</v>
      </c>
      <c r="B2">
        <v>4.57</v>
      </c>
      <c r="C2">
        <v>4.9000000000000004</v>
      </c>
      <c r="D2">
        <v>4.63</v>
      </c>
      <c r="E2">
        <v>4.6500000000000004</v>
      </c>
      <c r="F2">
        <v>4.91</v>
      </c>
      <c r="G2">
        <v>4.3499999999999996</v>
      </c>
      <c r="H2">
        <v>4.42</v>
      </c>
      <c r="Q2" s="7" t="s">
        <v>33</v>
      </c>
      <c r="R2" s="8"/>
      <c r="S2" s="9"/>
    </row>
    <row r="3" spans="1:19" x14ac:dyDescent="0.4">
      <c r="A3">
        <v>5.78</v>
      </c>
      <c r="B3">
        <v>4.95</v>
      </c>
      <c r="C3">
        <v>4.92</v>
      </c>
      <c r="D3">
        <v>4.82</v>
      </c>
      <c r="E3">
        <v>4.8</v>
      </c>
      <c r="F3">
        <v>4.5</v>
      </c>
      <c r="G3">
        <v>5</v>
      </c>
      <c r="H3">
        <v>4.6500000000000004</v>
      </c>
    </row>
    <row r="4" spans="1:19" x14ac:dyDescent="0.4">
      <c r="A4">
        <v>5.37</v>
      </c>
      <c r="B4">
        <v>4.75</v>
      </c>
      <c r="C4">
        <v>4.4800000000000004</v>
      </c>
      <c r="D4">
        <v>4.82</v>
      </c>
      <c r="E4">
        <v>4.8099999999999996</v>
      </c>
      <c r="F4">
        <v>4.51</v>
      </c>
      <c r="G4">
        <v>4.6500000000000004</v>
      </c>
      <c r="H4">
        <v>5.0199999999999996</v>
      </c>
    </row>
    <row r="5" spans="1:19" x14ac:dyDescent="0.4">
      <c r="A5">
        <v>4.3499999999999996</v>
      </c>
      <c r="B5">
        <v>4.71</v>
      </c>
      <c r="C5">
        <v>4.72</v>
      </c>
      <c r="D5">
        <v>5</v>
      </c>
      <c r="E5">
        <v>5</v>
      </c>
      <c r="F5">
        <v>4.6500000000000004</v>
      </c>
      <c r="G5">
        <v>4.58</v>
      </c>
      <c r="H5">
        <v>5.56</v>
      </c>
    </row>
    <row r="7" spans="1:19" x14ac:dyDescent="0.4">
      <c r="A7" t="s">
        <v>1</v>
      </c>
      <c r="D7" t="s">
        <v>17</v>
      </c>
      <c r="E7">
        <f>MEDIAN(A1:H5)</f>
        <v>4.8</v>
      </c>
      <c r="F7" t="s">
        <v>19</v>
      </c>
      <c r="G7" s="4">
        <f>_xlfn.QUARTILE.INC($A$1:$H$5,1)</f>
        <v>4.6450000000000005</v>
      </c>
    </row>
    <row r="8" spans="1:19" x14ac:dyDescent="0.4">
      <c r="A8" t="s">
        <v>2</v>
      </c>
      <c r="F8" t="s">
        <v>18</v>
      </c>
      <c r="G8">
        <f>_xlfn.QUARTILE.INC($A$1:$H$5,2)</f>
        <v>4.8</v>
      </c>
    </row>
    <row r="9" spans="1:19" x14ac:dyDescent="0.4">
      <c r="A9" t="s">
        <v>3</v>
      </c>
      <c r="F9" t="s">
        <v>20</v>
      </c>
      <c r="G9" s="3">
        <f>_xlfn.QUARTILE.INC($A$1:$H$5,3)</f>
        <v>4.9625000000000004</v>
      </c>
    </row>
    <row r="10" spans="1:19" x14ac:dyDescent="0.4">
      <c r="A10" t="s">
        <v>4</v>
      </c>
      <c r="F10" t="s">
        <v>21</v>
      </c>
      <c r="G10" s="3">
        <f>_xlfn.PERCENTILE.INC(A1:H5,0.9)</f>
        <v>5.383</v>
      </c>
    </row>
    <row r="11" spans="1:19" x14ac:dyDescent="0.4">
      <c r="F11" t="s">
        <v>22</v>
      </c>
      <c r="G11" s="3">
        <f>AVERAGE(A1:H5)</f>
        <v>4.8377500000000015</v>
      </c>
    </row>
    <row r="12" spans="1:19" x14ac:dyDescent="0.4">
      <c r="A12" t="s">
        <v>24</v>
      </c>
      <c r="F12" t="s">
        <v>23</v>
      </c>
      <c r="G12" s="5">
        <f>_xlfn.STDEV.S(A1:H5)</f>
        <v>0.35389037488450781</v>
      </c>
    </row>
    <row r="13" spans="1:19" x14ac:dyDescent="0.4">
      <c r="A13" cm="1">
        <f t="array" ref="A13:A52">_xlfn.TOCOL(A1:H5)</f>
        <v>4.8</v>
      </c>
    </row>
    <row r="14" spans="1:19" x14ac:dyDescent="0.4">
      <c r="A14">
        <v>4.75</v>
      </c>
      <c r="I14" t="s">
        <v>25</v>
      </c>
    </row>
    <row r="15" spans="1:19" x14ac:dyDescent="0.4">
      <c r="A15">
        <v>4.92</v>
      </c>
      <c r="I15" t="s">
        <v>29</v>
      </c>
    </row>
    <row r="16" spans="1:19" x14ac:dyDescent="0.4">
      <c r="A16">
        <v>4.8</v>
      </c>
      <c r="I16" t="s">
        <v>26</v>
      </c>
    </row>
    <row r="17" spans="1:9" x14ac:dyDescent="0.4">
      <c r="A17">
        <v>5.8</v>
      </c>
      <c r="I17" t="s">
        <v>27</v>
      </c>
    </row>
    <row r="18" spans="1:9" ht="18" thickBot="1" x14ac:dyDescent="0.45">
      <c r="A18">
        <v>4.8</v>
      </c>
      <c r="I18" t="s">
        <v>28</v>
      </c>
    </row>
    <row r="19" spans="1:9" x14ac:dyDescent="0.4">
      <c r="A19">
        <v>4.3099999999999996</v>
      </c>
      <c r="C19" s="6" t="s">
        <v>30</v>
      </c>
      <c r="D19" s="6"/>
    </row>
    <row r="20" spans="1:9" x14ac:dyDescent="0.4">
      <c r="A20">
        <v>5.5</v>
      </c>
      <c r="C20" s="1"/>
      <c r="D20" s="1"/>
      <c r="I20" t="s">
        <v>31</v>
      </c>
    </row>
    <row r="21" spans="1:9" x14ac:dyDescent="0.4">
      <c r="A21">
        <v>5</v>
      </c>
      <c r="C21" s="1" t="s">
        <v>5</v>
      </c>
      <c r="D21" s="1">
        <v>4.8377500000000015</v>
      </c>
      <c r="I21" t="s">
        <v>32</v>
      </c>
    </row>
    <row r="22" spans="1:9" x14ac:dyDescent="0.4">
      <c r="A22">
        <v>4.57</v>
      </c>
      <c r="C22" s="1" t="s">
        <v>6</v>
      </c>
      <c r="D22" s="1">
        <v>5.5954981332294595E-2</v>
      </c>
    </row>
    <row r="23" spans="1:9" x14ac:dyDescent="0.4">
      <c r="A23">
        <v>4.9000000000000004</v>
      </c>
      <c r="C23" s="1" t="s">
        <v>0</v>
      </c>
      <c r="D23" s="1">
        <v>4.8</v>
      </c>
    </row>
    <row r="24" spans="1:9" x14ac:dyDescent="0.4">
      <c r="A24">
        <v>4.63</v>
      </c>
      <c r="C24" s="1" t="s">
        <v>7</v>
      </c>
      <c r="D24" s="1">
        <v>4.8</v>
      </c>
    </row>
    <row r="25" spans="1:9" x14ac:dyDescent="0.4">
      <c r="A25">
        <v>4.6500000000000004</v>
      </c>
      <c r="C25" s="1" t="s">
        <v>8</v>
      </c>
      <c r="D25" s="1">
        <v>0.35389037488450781</v>
      </c>
    </row>
    <row r="26" spans="1:9" x14ac:dyDescent="0.4">
      <c r="A26">
        <v>4.91</v>
      </c>
      <c r="C26" s="1" t="s">
        <v>9</v>
      </c>
      <c r="D26" s="1">
        <v>0.12523839743589746</v>
      </c>
    </row>
    <row r="27" spans="1:9" x14ac:dyDescent="0.4">
      <c r="A27">
        <v>4.3499999999999996</v>
      </c>
      <c r="C27" s="1" t="s">
        <v>10</v>
      </c>
      <c r="D27" s="1">
        <v>1.4714282924974627</v>
      </c>
    </row>
    <row r="28" spans="1:9" x14ac:dyDescent="0.4">
      <c r="A28">
        <v>4.42</v>
      </c>
      <c r="C28" s="1" t="s">
        <v>11</v>
      </c>
      <c r="D28" s="1">
        <v>1.1712229518922126</v>
      </c>
    </row>
    <row r="29" spans="1:9" x14ac:dyDescent="0.4">
      <c r="A29">
        <v>5.78</v>
      </c>
      <c r="C29" s="1" t="s">
        <v>12</v>
      </c>
      <c r="D29" s="1">
        <v>1.4900000000000002</v>
      </c>
    </row>
    <row r="30" spans="1:9" x14ac:dyDescent="0.4">
      <c r="A30">
        <v>4.95</v>
      </c>
      <c r="C30" s="1" t="s">
        <v>13</v>
      </c>
      <c r="D30" s="1">
        <v>4.3099999999999996</v>
      </c>
    </row>
    <row r="31" spans="1:9" x14ac:dyDescent="0.4">
      <c r="A31">
        <v>4.92</v>
      </c>
      <c r="C31" s="1" t="s">
        <v>14</v>
      </c>
      <c r="D31" s="1">
        <v>5.8</v>
      </c>
    </row>
    <row r="32" spans="1:9" x14ac:dyDescent="0.4">
      <c r="A32">
        <v>4.82</v>
      </c>
      <c r="C32" s="1" t="s">
        <v>15</v>
      </c>
      <c r="D32" s="1">
        <v>193.51000000000005</v>
      </c>
    </row>
    <row r="33" spans="1:4" ht="18" thickBot="1" x14ac:dyDescent="0.45">
      <c r="A33">
        <v>4.8</v>
      </c>
      <c r="C33" s="2" t="s">
        <v>16</v>
      </c>
      <c r="D33" s="2">
        <v>40</v>
      </c>
    </row>
    <row r="34" spans="1:4" x14ac:dyDescent="0.4">
      <c r="A34">
        <v>4.5</v>
      </c>
    </row>
    <row r="35" spans="1:4" x14ac:dyDescent="0.4">
      <c r="A35">
        <v>5</v>
      </c>
    </row>
    <row r="36" spans="1:4" x14ac:dyDescent="0.4">
      <c r="A36">
        <v>4.6500000000000004</v>
      </c>
    </row>
    <row r="37" spans="1:4" x14ac:dyDescent="0.4">
      <c r="A37">
        <v>5.37</v>
      </c>
    </row>
    <row r="38" spans="1:4" x14ac:dyDescent="0.4">
      <c r="A38">
        <v>4.75</v>
      </c>
    </row>
    <row r="39" spans="1:4" x14ac:dyDescent="0.4">
      <c r="A39">
        <v>4.4800000000000004</v>
      </c>
    </row>
    <row r="40" spans="1:4" x14ac:dyDescent="0.4">
      <c r="A40">
        <v>4.82</v>
      </c>
    </row>
    <row r="41" spans="1:4" x14ac:dyDescent="0.4">
      <c r="A41">
        <v>4.8099999999999996</v>
      </c>
    </row>
    <row r="42" spans="1:4" x14ac:dyDescent="0.4">
      <c r="A42">
        <v>4.51</v>
      </c>
    </row>
    <row r="43" spans="1:4" x14ac:dyDescent="0.4">
      <c r="A43">
        <v>4.6500000000000004</v>
      </c>
    </row>
    <row r="44" spans="1:4" x14ac:dyDescent="0.4">
      <c r="A44">
        <v>5.0199999999999996</v>
      </c>
    </row>
    <row r="45" spans="1:4" x14ac:dyDescent="0.4">
      <c r="A45">
        <v>4.3499999999999996</v>
      </c>
    </row>
    <row r="46" spans="1:4" x14ac:dyDescent="0.4">
      <c r="A46">
        <v>4.71</v>
      </c>
    </row>
    <row r="47" spans="1:4" x14ac:dyDescent="0.4">
      <c r="A47">
        <v>4.72</v>
      </c>
    </row>
    <row r="48" spans="1:4" x14ac:dyDescent="0.4">
      <c r="A48">
        <v>5</v>
      </c>
    </row>
    <row r="49" spans="1:1" x14ac:dyDescent="0.4">
      <c r="A49">
        <v>5</v>
      </c>
    </row>
    <row r="50" spans="1:1" x14ac:dyDescent="0.4">
      <c r="A50">
        <v>4.6500000000000004</v>
      </c>
    </row>
    <row r="51" spans="1:1" x14ac:dyDescent="0.4">
      <c r="A51">
        <v>4.58</v>
      </c>
    </row>
    <row r="52" spans="1:1" x14ac:dyDescent="0.4">
      <c r="A52">
        <v>5.56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2026-03-24T08:29:18Z</dcterms:created>
  <dcterms:modified xsi:type="dcterms:W3CDTF">2026-03-24T09:35:11Z</dcterms:modified>
</cp:coreProperties>
</file>