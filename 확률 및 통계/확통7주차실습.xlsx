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nny\OneDrive\바탕 화면\2학년1학기\확률 및 통계\"/>
    </mc:Choice>
  </mc:AlternateContent>
  <xr:revisionPtr revIDLastSave="0" documentId="8_{0809AAA8-F5E0-4DAC-BCB0-A6E92FF75EAD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4" i="1" l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33" i="1"/>
  <c r="H33" i="1" a="1"/>
  <c r="H33" i="1" s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3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<sst xmlns="http://schemas.openxmlformats.org/spreadsheetml/2006/main" count="5" uniqueCount="5">
  <si>
    <t>X</t>
    <phoneticPr fontId="1" type="noConversion"/>
  </si>
  <si>
    <t>RANK</t>
    <phoneticPr fontId="1" type="noConversion"/>
  </si>
  <si>
    <t>Normal score</t>
    <phoneticPr fontId="1" type="noConversion"/>
  </si>
  <si>
    <t>sqrt(x)</t>
    <phoneticPr fontId="1" type="noConversion"/>
  </si>
  <si>
    <t>LOG(X)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</si>
</sst>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돋움"/>
      <charset val="129"/>
    </font>
    <font>
      <sz val="8"/>
      <name val="돋움"/>
      <family val="3"/>
      <charset val="129"/>
    </font>
    <font>
      <sz val="11"/>
      <name val="돋움"/>
      <family val="2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>
        <c:manualLayout>
          <c:layoutTarget val="inner"/>
          <c:xMode val="edge"/>
          <c:yMode val="edge"/>
          <c:x val="5.1826334208223968E-2"/>
          <c:y val="0.15042833187518226"/>
          <c:w val="0.9223958880139983"/>
          <c:h val="0.72088764946048411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Sheet1!$I$32</c:f>
              <c:strCache>
                <c:ptCount val="1"/>
                <c:pt idx="0">
                  <c:v>sqrt(x)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Sheet1!$H$33:$H$81</c:f>
              <c:numCache>
                <c:formatCode>General</c:formatCode>
                <c:ptCount val="49"/>
                <c:pt idx="0">
                  <c:v>1.7506860712521695</c:v>
                </c:pt>
                <c:pt idx="1">
                  <c:v>-0.80642124701824058</c:v>
                </c:pt>
                <c:pt idx="2">
                  <c:v>-0.52440051270804089</c:v>
                </c:pt>
                <c:pt idx="3">
                  <c:v>-1.1749867920660904</c:v>
                </c:pt>
                <c:pt idx="4">
                  <c:v>-0.25334710313579978</c:v>
                </c:pt>
                <c:pt idx="5">
                  <c:v>-0.80642124701824058</c:v>
                </c:pt>
                <c:pt idx="6">
                  <c:v>0.91536508784281256</c:v>
                </c:pt>
                <c:pt idx="7">
                  <c:v>0.9944578832097497</c:v>
                </c:pt>
                <c:pt idx="8">
                  <c:v>-1.554773594596853</c:v>
                </c:pt>
                <c:pt idx="9">
                  <c:v>0.10043372051146988</c:v>
                </c:pt>
                <c:pt idx="10">
                  <c:v>0.46769879911450835</c:v>
                </c:pt>
                <c:pt idx="11">
                  <c:v>-2.506890825871106E-2</c:v>
                </c:pt>
                <c:pt idx="12">
                  <c:v>0.64334540539291696</c:v>
                </c:pt>
                <c:pt idx="13">
                  <c:v>1.2265281200366105</c:v>
                </c:pt>
                <c:pt idx="14">
                  <c:v>-0.35845879325119384</c:v>
                </c:pt>
                <c:pt idx="15">
                  <c:v>-2.506890825871106E-2</c:v>
                </c:pt>
                <c:pt idx="16">
                  <c:v>0.84162123357291474</c:v>
                </c:pt>
                <c:pt idx="17">
                  <c:v>0.25334710313579978</c:v>
                </c:pt>
                <c:pt idx="18">
                  <c:v>-0.20189347914185088</c:v>
                </c:pt>
                <c:pt idx="19">
                  <c:v>0.77219321418868503</c:v>
                </c:pt>
                <c:pt idx="20">
                  <c:v>-0.46769879911450829</c:v>
                </c:pt>
                <c:pt idx="21">
                  <c:v>0.17637416478086121</c:v>
                </c:pt>
                <c:pt idx="22">
                  <c:v>0.58284150727121631</c:v>
                </c:pt>
                <c:pt idx="23">
                  <c:v>1.0803193408149565</c:v>
                </c:pt>
                <c:pt idx="24">
                  <c:v>-0.64334540539291696</c:v>
                </c:pt>
                <c:pt idx="25">
                  <c:v>2.0537489106318221</c:v>
                </c:pt>
                <c:pt idx="26">
                  <c:v>0.41246312944140473</c:v>
                </c:pt>
                <c:pt idx="27">
                  <c:v>-0.95416525314619549</c:v>
                </c:pt>
                <c:pt idx="28">
                  <c:v>1.4050715603096329</c:v>
                </c:pt>
                <c:pt idx="29">
                  <c:v>-0.95416525314619549</c:v>
                </c:pt>
                <c:pt idx="30">
                  <c:v>-1.7506860712521695</c:v>
                </c:pt>
                <c:pt idx="31">
                  <c:v>-1.4050715603096353</c:v>
                </c:pt>
                <c:pt idx="32">
                  <c:v>-2.0537489106318225</c:v>
                </c:pt>
                <c:pt idx="33">
                  <c:v>0.7063025628400873</c:v>
                </c:pt>
                <c:pt idx="34">
                  <c:v>-2.506890825871106E-2</c:v>
                </c:pt>
                <c:pt idx="35">
                  <c:v>-2.506890825871106E-2</c:v>
                </c:pt>
                <c:pt idx="36">
                  <c:v>-1.2815515655446006</c:v>
                </c:pt>
                <c:pt idx="37">
                  <c:v>0.52440051270804078</c:v>
                </c:pt>
                <c:pt idx="38">
                  <c:v>1.2265281200366105</c:v>
                </c:pt>
                <c:pt idx="39">
                  <c:v>0.17637416478086121</c:v>
                </c:pt>
                <c:pt idx="40">
                  <c:v>-0.41246312944140484</c:v>
                </c:pt>
                <c:pt idx="41">
                  <c:v>-0.30548078809939727</c:v>
                </c:pt>
                <c:pt idx="42">
                  <c:v>-0.15096921549677725</c:v>
                </c:pt>
                <c:pt idx="43">
                  <c:v>-1.0803193408149565</c:v>
                </c:pt>
                <c:pt idx="44">
                  <c:v>-0.58284150727121631</c:v>
                </c:pt>
                <c:pt idx="45">
                  <c:v>0.35845879325119384</c:v>
                </c:pt>
                <c:pt idx="46">
                  <c:v>0.30548078809939727</c:v>
                </c:pt>
                <c:pt idx="47">
                  <c:v>-0.7063025628400873</c:v>
                </c:pt>
                <c:pt idx="48">
                  <c:v>1.5547735945968528</c:v>
                </c:pt>
              </c:numCache>
            </c:numRef>
          </c:xVal>
          <c:yVal>
            <c:numRef>
              <c:f>Sheet1!$I$33:$I$81</c:f>
              <c:numCache>
                <c:formatCode>General</c:formatCode>
                <c:ptCount val="49"/>
                <c:pt idx="0">
                  <c:v>6.2689712074629913</c:v>
                </c:pt>
                <c:pt idx="1">
                  <c:v>1.8708286933869707</c:v>
                </c:pt>
                <c:pt idx="2">
                  <c:v>2.4494897427831779</c:v>
                </c:pt>
                <c:pt idx="3">
                  <c:v>1.6431676725154984</c:v>
                </c:pt>
                <c:pt idx="4">
                  <c:v>2.7202941017470885</c:v>
                </c:pt>
                <c:pt idx="5">
                  <c:v>1.8708286933869707</c:v>
                </c:pt>
                <c:pt idx="6">
                  <c:v>4.4045431091090483</c:v>
                </c:pt>
                <c:pt idx="7">
                  <c:v>4.4384682042344297</c:v>
                </c:pt>
                <c:pt idx="8">
                  <c:v>1</c:v>
                </c:pt>
                <c:pt idx="9">
                  <c:v>2.9495762407505248</c:v>
                </c:pt>
                <c:pt idx="10">
                  <c:v>3.8470768123342691</c:v>
                </c:pt>
                <c:pt idx="11">
                  <c:v>2.8809720581775866</c:v>
                </c:pt>
                <c:pt idx="12">
                  <c:v>4.135214625627067</c:v>
                </c:pt>
                <c:pt idx="13">
                  <c:v>5.1185935568278911</c:v>
                </c:pt>
                <c:pt idx="14">
                  <c:v>2.5690465157330258</c:v>
                </c:pt>
                <c:pt idx="15">
                  <c:v>2.8809720581775866</c:v>
                </c:pt>
                <c:pt idx="16">
                  <c:v>4.3931765272977596</c:v>
                </c:pt>
                <c:pt idx="17">
                  <c:v>3.2093613071762426</c:v>
                </c:pt>
                <c:pt idx="18">
                  <c:v>2.7568097504180442</c:v>
                </c:pt>
                <c:pt idx="19">
                  <c:v>4.3474130238568316</c:v>
                </c:pt>
                <c:pt idx="20">
                  <c:v>2.5099800796022267</c:v>
                </c:pt>
                <c:pt idx="21">
                  <c:v>3.1622776601683795</c:v>
                </c:pt>
                <c:pt idx="22">
                  <c:v>4.0987803063838397</c:v>
                </c:pt>
                <c:pt idx="23">
                  <c:v>4.9295030175464953</c:v>
                </c:pt>
                <c:pt idx="24">
                  <c:v>2.2803508501982761</c:v>
                </c:pt>
                <c:pt idx="25">
                  <c:v>6.6932802122726045</c:v>
                </c:pt>
                <c:pt idx="26">
                  <c:v>3.7549966711037173</c:v>
                </c:pt>
                <c:pt idx="27">
                  <c:v>1.8439088914585775</c:v>
                </c:pt>
                <c:pt idx="28">
                  <c:v>5.3197744313081543</c:v>
                </c:pt>
                <c:pt idx="29">
                  <c:v>1.8439088914585775</c:v>
                </c:pt>
                <c:pt idx="30">
                  <c:v>0.94868329805051377</c:v>
                </c:pt>
                <c:pt idx="31">
                  <c:v>1.1401754250991381</c:v>
                </c:pt>
                <c:pt idx="32">
                  <c:v>0.83666002653407556</c:v>
                </c:pt>
                <c:pt idx="33">
                  <c:v>4.2071367935925261</c:v>
                </c:pt>
                <c:pt idx="34">
                  <c:v>2.8809720581775866</c:v>
                </c:pt>
                <c:pt idx="35">
                  <c:v>2.8809720581775866</c:v>
                </c:pt>
                <c:pt idx="36">
                  <c:v>1.3784048752090221</c:v>
                </c:pt>
                <c:pt idx="37">
                  <c:v>4.0865633483405102</c:v>
                </c:pt>
                <c:pt idx="38">
                  <c:v>5.1185935568278911</c:v>
                </c:pt>
                <c:pt idx="39">
                  <c:v>3.1622776601683795</c:v>
                </c:pt>
                <c:pt idx="40">
                  <c:v>2.5495097567963922</c:v>
                </c:pt>
                <c:pt idx="41">
                  <c:v>2.6645825188948455</c:v>
                </c:pt>
                <c:pt idx="42">
                  <c:v>2.8106938645110393</c:v>
                </c:pt>
                <c:pt idx="43">
                  <c:v>1.7888543819998317</c:v>
                </c:pt>
                <c:pt idx="44">
                  <c:v>2.4289915602982237</c:v>
                </c:pt>
                <c:pt idx="45">
                  <c:v>3.6606010435446255</c:v>
                </c:pt>
                <c:pt idx="46">
                  <c:v>3.4641016151377544</c:v>
                </c:pt>
                <c:pt idx="47">
                  <c:v>2.0736441353327719</c:v>
                </c:pt>
                <c:pt idx="48">
                  <c:v>5.6302753041036988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6BC-4AE9-B091-9BD2CBD850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43313183"/>
        <c:axId val="1343310783"/>
      </c:scatterChart>
      <c:valAx>
        <c:axId val="13433131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343310783"/>
        <c:crosses val="autoZero"/>
        <c:crossBetween val="midCat"/>
      </c:valAx>
      <c:valAx>
        <c:axId val="1343310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3433131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102870</xdr:colOff>
      <xdr:row>51</xdr:row>
      <xdr:rowOff>26670</xdr:rowOff>
    </xdr:from>
    <xdr:to>
      <xdr:col>16</xdr:col>
      <xdr:colOff>651510</xdr:colOff>
      <xdr:row>66</xdr:row>
      <xdr:rowOff>26670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C5C781E3-F54F-57DE-35DD-BD8762B0AC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1"/>
  <sheetViews>
    <sheetView tabSelected="1" topLeftCell="A34" workbookViewId="0">
      <selection activeCell="R60" sqref="R60"/>
    </sheetView>
  </sheetViews>
  <sheetFormatPr defaultRowHeight="14.4" x14ac:dyDescent="0.25"/>
  <cols>
    <col min="8" max="8" width="12.3984375" customWidth="1"/>
  </cols>
  <sheetData>
    <row r="1" spans="1:1" x14ac:dyDescent="0.25">
      <c r="A1">
        <v>39.299999999999997</v>
      </c>
    </row>
    <row r="2" spans="1:1" x14ac:dyDescent="0.25">
      <c r="A2">
        <v>3.5</v>
      </c>
    </row>
    <row r="3" spans="1:1" x14ac:dyDescent="0.25">
      <c r="A3">
        <v>6</v>
      </c>
    </row>
    <row r="4" spans="1:1" x14ac:dyDescent="0.25">
      <c r="A4">
        <v>2.7</v>
      </c>
    </row>
    <row r="5" spans="1:1" x14ac:dyDescent="0.25">
      <c r="A5">
        <v>7.4</v>
      </c>
    </row>
    <row r="6" spans="1:1" x14ac:dyDescent="0.25">
      <c r="A6">
        <v>3.5</v>
      </c>
    </row>
    <row r="7" spans="1:1" x14ac:dyDescent="0.25">
      <c r="A7">
        <v>19.399999999999999</v>
      </c>
    </row>
    <row r="8" spans="1:1" x14ac:dyDescent="0.25">
      <c r="A8">
        <v>19.7</v>
      </c>
    </row>
    <row r="9" spans="1:1" x14ac:dyDescent="0.25">
      <c r="A9">
        <v>1</v>
      </c>
    </row>
    <row r="10" spans="1:1" x14ac:dyDescent="0.25">
      <c r="A10">
        <v>8.6999999999999993</v>
      </c>
    </row>
    <row r="11" spans="1:1" x14ac:dyDescent="0.25">
      <c r="A11">
        <v>14.8</v>
      </c>
    </row>
    <row r="12" spans="1:1" x14ac:dyDescent="0.25">
      <c r="A12">
        <v>8.3000000000000007</v>
      </c>
    </row>
    <row r="13" spans="1:1" x14ac:dyDescent="0.25">
      <c r="A13">
        <v>17.100000000000001</v>
      </c>
    </row>
    <row r="14" spans="1:1" x14ac:dyDescent="0.25">
      <c r="A14">
        <v>26.2</v>
      </c>
    </row>
    <row r="15" spans="1:1" x14ac:dyDescent="0.25">
      <c r="A15">
        <v>6.6</v>
      </c>
    </row>
    <row r="16" spans="1:1" x14ac:dyDescent="0.25">
      <c r="A16">
        <v>8.3000000000000007</v>
      </c>
    </row>
    <row r="17" spans="1:10" x14ac:dyDescent="0.25">
      <c r="A17">
        <v>19.3</v>
      </c>
    </row>
    <row r="18" spans="1:10" x14ac:dyDescent="0.25">
      <c r="A18">
        <v>10.3</v>
      </c>
    </row>
    <row r="19" spans="1:10" x14ac:dyDescent="0.25">
      <c r="A19">
        <v>7.6</v>
      </c>
    </row>
    <row r="20" spans="1:10" x14ac:dyDescent="0.25">
      <c r="A20">
        <v>18.899999999999999</v>
      </c>
    </row>
    <row r="21" spans="1:10" x14ac:dyDescent="0.25">
      <c r="A21">
        <v>6.3</v>
      </c>
    </row>
    <row r="22" spans="1:10" x14ac:dyDescent="0.25">
      <c r="A22">
        <v>10</v>
      </c>
    </row>
    <row r="23" spans="1:10" x14ac:dyDescent="0.25">
      <c r="A23">
        <v>16.8</v>
      </c>
    </row>
    <row r="24" spans="1:10" x14ac:dyDescent="0.25">
      <c r="A24">
        <v>24.3</v>
      </c>
    </row>
    <row r="25" spans="1:10" x14ac:dyDescent="0.25">
      <c r="A25">
        <v>5.2</v>
      </c>
    </row>
    <row r="26" spans="1:10" x14ac:dyDescent="0.25">
      <c r="A26">
        <v>44.8</v>
      </c>
    </row>
    <row r="27" spans="1:10" x14ac:dyDescent="0.25">
      <c r="A27">
        <v>14.1</v>
      </c>
    </row>
    <row r="28" spans="1:10" x14ac:dyDescent="0.25">
      <c r="A28">
        <v>3.4</v>
      </c>
    </row>
    <row r="29" spans="1:10" x14ac:dyDescent="0.25">
      <c r="A29">
        <v>28.3</v>
      </c>
    </row>
    <row r="30" spans="1:10" x14ac:dyDescent="0.25">
      <c r="A30">
        <v>3.4</v>
      </c>
    </row>
    <row r="31" spans="1:10" x14ac:dyDescent="0.25">
      <c r="A31">
        <v>0.9</v>
      </c>
    </row>
    <row r="32" spans="1:10" x14ac:dyDescent="0.25">
      <c r="A32">
        <v>1.3</v>
      </c>
      <c r="E32" s="1" t="s">
        <v>0</v>
      </c>
      <c r="F32" s="1" t="s">
        <v>1</v>
      </c>
      <c r="H32" s="1" t="s">
        <v>2</v>
      </c>
      <c r="I32" s="1" t="s">
        <v>3</v>
      </c>
      <c r="J32" s="1" t="s">
        <v>4</v>
      </c>
    </row>
    <row r="33" spans="1:10" x14ac:dyDescent="0.25">
      <c r="A33">
        <v>0.7</v>
      </c>
      <c r="E33">
        <v>39.299999999999997</v>
      </c>
      <c r="F33">
        <f>_xlfn.RANK.AVG(E33,$E$33:$E$81,1)</f>
        <v>48</v>
      </c>
      <c r="G33">
        <f>F33/50</f>
        <v>0.96</v>
      </c>
      <c r="H33" cm="1">
        <f t="array" ref="H33:H81">_xlfn.NORM.S.INV(G33:G81)</f>
        <v>1.7506860712521695</v>
      </c>
      <c r="I33">
        <f>SQRT(E33)</f>
        <v>6.2689712074629913</v>
      </c>
      <c r="J33">
        <f>LOG(E34)</f>
        <v>0.54406804435027567</v>
      </c>
    </row>
    <row r="34" spans="1:10" x14ac:dyDescent="0.25">
      <c r="A34">
        <v>17.7</v>
      </c>
      <c r="E34">
        <v>3.5</v>
      </c>
      <c r="F34">
        <f t="shared" ref="F34:F81" si="0">_xlfn.RANK.AVG(E34,$E$33:$E$81,1)</f>
        <v>10.5</v>
      </c>
      <c r="G34">
        <f t="shared" ref="G34:G81" si="1">F34/50</f>
        <v>0.21</v>
      </c>
      <c r="H34">
        <v>-0.80642124701824058</v>
      </c>
      <c r="I34">
        <f t="shared" ref="I34:I81" si="2">SQRT(E34)</f>
        <v>1.8708286933869707</v>
      </c>
      <c r="J34">
        <f t="shared" ref="J34:J81" si="3">LOG(E35)</f>
        <v>0.77815125038364363</v>
      </c>
    </row>
    <row r="35" spans="1:10" x14ac:dyDescent="0.25">
      <c r="A35">
        <v>8.3000000000000007</v>
      </c>
      <c r="E35">
        <v>6</v>
      </c>
      <c r="F35">
        <f t="shared" si="0"/>
        <v>15</v>
      </c>
      <c r="G35">
        <f t="shared" si="1"/>
        <v>0.3</v>
      </c>
      <c r="H35">
        <v>-0.52440051270804089</v>
      </c>
      <c r="I35">
        <f t="shared" si="2"/>
        <v>2.4494897427831779</v>
      </c>
      <c r="J35">
        <f t="shared" si="3"/>
        <v>0.43136376415898736</v>
      </c>
    </row>
    <row r="36" spans="1:10" x14ac:dyDescent="0.25">
      <c r="A36">
        <v>8.3000000000000007</v>
      </c>
      <c r="E36">
        <v>2.7</v>
      </c>
      <c r="F36">
        <f t="shared" si="0"/>
        <v>6</v>
      </c>
      <c r="G36">
        <f t="shared" si="1"/>
        <v>0.12</v>
      </c>
      <c r="H36">
        <v>-1.1749867920660904</v>
      </c>
      <c r="I36">
        <f t="shared" si="2"/>
        <v>1.6431676725154984</v>
      </c>
      <c r="J36">
        <f t="shared" si="3"/>
        <v>0.86923171973097624</v>
      </c>
    </row>
    <row r="37" spans="1:10" x14ac:dyDescent="0.25">
      <c r="A37">
        <v>1.9</v>
      </c>
      <c r="E37">
        <v>7.4</v>
      </c>
      <c r="F37">
        <f t="shared" si="0"/>
        <v>20</v>
      </c>
      <c r="G37">
        <f t="shared" si="1"/>
        <v>0.4</v>
      </c>
      <c r="H37">
        <v>-0.25334710313579978</v>
      </c>
      <c r="I37">
        <f t="shared" si="2"/>
        <v>2.7202941017470885</v>
      </c>
      <c r="J37">
        <f t="shared" si="3"/>
        <v>0.54406804435027567</v>
      </c>
    </row>
    <row r="38" spans="1:10" x14ac:dyDescent="0.25">
      <c r="A38">
        <v>16.7</v>
      </c>
      <c r="E38">
        <v>3.5</v>
      </c>
      <c r="F38">
        <f t="shared" si="0"/>
        <v>10.5</v>
      </c>
      <c r="G38">
        <f t="shared" si="1"/>
        <v>0.21</v>
      </c>
      <c r="H38">
        <v>-0.80642124701824058</v>
      </c>
      <c r="I38">
        <f t="shared" si="2"/>
        <v>1.8708286933869707</v>
      </c>
      <c r="J38">
        <f t="shared" si="3"/>
        <v>1.287801729930226</v>
      </c>
    </row>
    <row r="39" spans="1:10" x14ac:dyDescent="0.25">
      <c r="A39">
        <v>26.2</v>
      </c>
      <c r="E39">
        <v>19.399999999999999</v>
      </c>
      <c r="F39">
        <f t="shared" si="0"/>
        <v>41</v>
      </c>
      <c r="G39">
        <f t="shared" si="1"/>
        <v>0.82</v>
      </c>
      <c r="H39">
        <v>0.91536508784281256</v>
      </c>
      <c r="I39">
        <f t="shared" si="2"/>
        <v>4.4045431091090483</v>
      </c>
      <c r="J39">
        <f t="shared" si="3"/>
        <v>1.2944662261615929</v>
      </c>
    </row>
    <row r="40" spans="1:10" x14ac:dyDescent="0.25">
      <c r="A40">
        <v>10</v>
      </c>
      <c r="E40">
        <v>19.7</v>
      </c>
      <c r="F40">
        <f t="shared" si="0"/>
        <v>42</v>
      </c>
      <c r="G40">
        <f t="shared" si="1"/>
        <v>0.84</v>
      </c>
      <c r="H40">
        <v>0.9944578832097497</v>
      </c>
      <c r="I40">
        <f t="shared" si="2"/>
        <v>4.4384682042344297</v>
      </c>
      <c r="J40">
        <f t="shared" si="3"/>
        <v>0</v>
      </c>
    </row>
    <row r="41" spans="1:10" x14ac:dyDescent="0.25">
      <c r="A41">
        <v>6.5</v>
      </c>
      <c r="E41">
        <v>1</v>
      </c>
      <c r="F41">
        <f t="shared" si="0"/>
        <v>3</v>
      </c>
      <c r="G41">
        <f t="shared" si="1"/>
        <v>0.06</v>
      </c>
      <c r="H41">
        <v>-1.554773594596853</v>
      </c>
      <c r="I41">
        <f t="shared" si="2"/>
        <v>1</v>
      </c>
      <c r="J41">
        <f t="shared" si="3"/>
        <v>0.93951925261861846</v>
      </c>
    </row>
    <row r="42" spans="1:10" x14ac:dyDescent="0.25">
      <c r="A42">
        <v>7.1</v>
      </c>
      <c r="E42">
        <v>8.6999999999999993</v>
      </c>
      <c r="F42">
        <f t="shared" si="0"/>
        <v>27</v>
      </c>
      <c r="G42">
        <f t="shared" si="1"/>
        <v>0.54</v>
      </c>
      <c r="H42">
        <v>0.10043372051146988</v>
      </c>
      <c r="I42">
        <f t="shared" si="2"/>
        <v>2.9495762407505248</v>
      </c>
      <c r="J42">
        <f t="shared" si="3"/>
        <v>1.1702617153949575</v>
      </c>
    </row>
    <row r="43" spans="1:10" x14ac:dyDescent="0.25">
      <c r="A43">
        <v>7.9</v>
      </c>
      <c r="E43">
        <v>14.8</v>
      </c>
      <c r="F43">
        <f t="shared" si="0"/>
        <v>34</v>
      </c>
      <c r="G43">
        <f t="shared" si="1"/>
        <v>0.68</v>
      </c>
      <c r="H43">
        <v>0.46769879911450835</v>
      </c>
      <c r="I43">
        <f t="shared" si="2"/>
        <v>3.8470768123342691</v>
      </c>
      <c r="J43">
        <f t="shared" si="3"/>
        <v>0.91907809237607396</v>
      </c>
    </row>
    <row r="44" spans="1:10" x14ac:dyDescent="0.25">
      <c r="A44">
        <v>3.2</v>
      </c>
      <c r="E44">
        <v>8.3000000000000007</v>
      </c>
      <c r="F44">
        <f t="shared" si="0"/>
        <v>24.5</v>
      </c>
      <c r="G44">
        <f t="shared" si="1"/>
        <v>0.49</v>
      </c>
      <c r="H44">
        <v>-2.506890825871106E-2</v>
      </c>
      <c r="I44">
        <f t="shared" si="2"/>
        <v>2.8809720581775866</v>
      </c>
      <c r="J44">
        <f t="shared" si="3"/>
        <v>1.2329961103921538</v>
      </c>
    </row>
    <row r="45" spans="1:10" x14ac:dyDescent="0.25">
      <c r="A45">
        <v>5.9</v>
      </c>
      <c r="E45">
        <v>17.100000000000001</v>
      </c>
      <c r="F45">
        <f t="shared" si="0"/>
        <v>37</v>
      </c>
      <c r="G45">
        <f t="shared" si="1"/>
        <v>0.74</v>
      </c>
      <c r="H45">
        <v>0.64334540539291696</v>
      </c>
      <c r="I45">
        <f t="shared" si="2"/>
        <v>4.135214625627067</v>
      </c>
      <c r="J45">
        <f t="shared" si="3"/>
        <v>1.4183012913197455</v>
      </c>
    </row>
    <row r="46" spans="1:10" x14ac:dyDescent="0.25">
      <c r="A46">
        <v>13.4</v>
      </c>
      <c r="E46">
        <v>26.2</v>
      </c>
      <c r="F46">
        <f t="shared" si="0"/>
        <v>44.5</v>
      </c>
      <c r="G46">
        <f t="shared" si="1"/>
        <v>0.89</v>
      </c>
      <c r="H46">
        <v>1.2265281200366105</v>
      </c>
      <c r="I46">
        <f t="shared" si="2"/>
        <v>5.1185935568278911</v>
      </c>
      <c r="J46">
        <f t="shared" si="3"/>
        <v>0.81954393554186866</v>
      </c>
    </row>
    <row r="47" spans="1:10" x14ac:dyDescent="0.25">
      <c r="A47">
        <v>12</v>
      </c>
      <c r="E47">
        <v>6.6</v>
      </c>
      <c r="F47">
        <f t="shared" si="0"/>
        <v>18</v>
      </c>
      <c r="G47">
        <f t="shared" si="1"/>
        <v>0.36</v>
      </c>
      <c r="H47">
        <v>-0.35845879325119384</v>
      </c>
      <c r="I47">
        <f t="shared" si="2"/>
        <v>2.5690465157330258</v>
      </c>
      <c r="J47">
        <f t="shared" si="3"/>
        <v>0.91907809237607396</v>
      </c>
    </row>
    <row r="48" spans="1:10" x14ac:dyDescent="0.25">
      <c r="A48">
        <v>4.3</v>
      </c>
      <c r="E48">
        <v>8.3000000000000007</v>
      </c>
      <c r="F48">
        <f t="shared" si="0"/>
        <v>24.5</v>
      </c>
      <c r="G48">
        <f t="shared" si="1"/>
        <v>0.49</v>
      </c>
      <c r="H48">
        <v>-2.506890825871106E-2</v>
      </c>
      <c r="I48">
        <f t="shared" si="2"/>
        <v>2.8809720581775866</v>
      </c>
      <c r="J48">
        <f t="shared" si="3"/>
        <v>1.2855573090077739</v>
      </c>
    </row>
    <row r="49" spans="1:10" x14ac:dyDescent="0.25">
      <c r="A49">
        <v>31.7</v>
      </c>
      <c r="E49">
        <v>19.3</v>
      </c>
      <c r="F49">
        <f t="shared" si="0"/>
        <v>40</v>
      </c>
      <c r="G49">
        <f t="shared" si="1"/>
        <v>0.8</v>
      </c>
      <c r="H49">
        <v>0.84162123357291474</v>
      </c>
      <c r="I49">
        <f t="shared" si="2"/>
        <v>4.3931765272977596</v>
      </c>
      <c r="J49">
        <f t="shared" si="3"/>
        <v>1.0128372247051722</v>
      </c>
    </row>
    <row r="50" spans="1:10" x14ac:dyDescent="0.25">
      <c r="E50">
        <v>10.3</v>
      </c>
      <c r="F50">
        <f t="shared" si="0"/>
        <v>30</v>
      </c>
      <c r="G50">
        <f t="shared" si="1"/>
        <v>0.6</v>
      </c>
      <c r="H50">
        <v>0.25334710313579978</v>
      </c>
      <c r="I50">
        <f t="shared" si="2"/>
        <v>3.2093613071762426</v>
      </c>
      <c r="J50">
        <f t="shared" si="3"/>
        <v>0.88081359228079137</v>
      </c>
    </row>
    <row r="51" spans="1:10" x14ac:dyDescent="0.25">
      <c r="E51">
        <v>7.6</v>
      </c>
      <c r="F51">
        <f t="shared" si="0"/>
        <v>21</v>
      </c>
      <c r="G51">
        <f t="shared" si="1"/>
        <v>0.42</v>
      </c>
      <c r="H51">
        <v>-0.20189347914185088</v>
      </c>
      <c r="I51">
        <f t="shared" si="2"/>
        <v>2.7568097504180442</v>
      </c>
      <c r="J51">
        <f t="shared" si="3"/>
        <v>1.2764618041732441</v>
      </c>
    </row>
    <row r="52" spans="1:10" x14ac:dyDescent="0.25">
      <c r="E52">
        <v>18.899999999999999</v>
      </c>
      <c r="F52">
        <f t="shared" si="0"/>
        <v>39</v>
      </c>
      <c r="G52">
        <f t="shared" si="1"/>
        <v>0.78</v>
      </c>
      <c r="H52">
        <v>0.77219321418868503</v>
      </c>
      <c r="I52">
        <f t="shared" si="2"/>
        <v>4.3474130238568316</v>
      </c>
      <c r="J52">
        <f t="shared" si="3"/>
        <v>0.79934054945358168</v>
      </c>
    </row>
    <row r="53" spans="1:10" x14ac:dyDescent="0.25">
      <c r="E53">
        <v>6.3</v>
      </c>
      <c r="F53">
        <f t="shared" si="0"/>
        <v>16</v>
      </c>
      <c r="G53">
        <f t="shared" si="1"/>
        <v>0.32</v>
      </c>
      <c r="H53">
        <v>-0.46769879911450829</v>
      </c>
      <c r="I53">
        <f t="shared" si="2"/>
        <v>2.5099800796022267</v>
      </c>
      <c r="J53">
        <f t="shared" si="3"/>
        <v>1</v>
      </c>
    </row>
    <row r="54" spans="1:10" x14ac:dyDescent="0.25">
      <c r="E54">
        <v>10</v>
      </c>
      <c r="F54">
        <f t="shared" si="0"/>
        <v>28.5</v>
      </c>
      <c r="G54">
        <f t="shared" si="1"/>
        <v>0.56999999999999995</v>
      </c>
      <c r="H54">
        <v>0.17637416478086121</v>
      </c>
      <c r="I54">
        <f t="shared" si="2"/>
        <v>3.1622776601683795</v>
      </c>
      <c r="J54">
        <f t="shared" si="3"/>
        <v>1.2253092817258628</v>
      </c>
    </row>
    <row r="55" spans="1:10" x14ac:dyDescent="0.25">
      <c r="E55">
        <v>16.8</v>
      </c>
      <c r="F55">
        <f t="shared" si="0"/>
        <v>36</v>
      </c>
      <c r="G55">
        <f t="shared" si="1"/>
        <v>0.72</v>
      </c>
      <c r="H55">
        <v>0.58284150727121631</v>
      </c>
      <c r="I55">
        <f t="shared" si="2"/>
        <v>4.0987803063838397</v>
      </c>
      <c r="J55">
        <f t="shared" si="3"/>
        <v>1.3856062735983121</v>
      </c>
    </row>
    <row r="56" spans="1:10" x14ac:dyDescent="0.25">
      <c r="E56">
        <v>24.3</v>
      </c>
      <c r="F56">
        <f t="shared" si="0"/>
        <v>43</v>
      </c>
      <c r="G56">
        <f t="shared" si="1"/>
        <v>0.86</v>
      </c>
      <c r="H56">
        <v>1.0803193408149565</v>
      </c>
      <c r="I56">
        <f t="shared" si="2"/>
        <v>4.9295030175464953</v>
      </c>
      <c r="J56">
        <f t="shared" si="3"/>
        <v>0.71600334363479923</v>
      </c>
    </row>
    <row r="57" spans="1:10" x14ac:dyDescent="0.25">
      <c r="E57">
        <v>5.2</v>
      </c>
      <c r="F57">
        <f t="shared" si="0"/>
        <v>13</v>
      </c>
      <c r="G57">
        <f t="shared" si="1"/>
        <v>0.26</v>
      </c>
      <c r="H57">
        <v>-0.64334540539291696</v>
      </c>
      <c r="I57">
        <f t="shared" si="2"/>
        <v>2.2803508501982761</v>
      </c>
      <c r="J57">
        <f t="shared" si="3"/>
        <v>1.651278013998144</v>
      </c>
    </row>
    <row r="58" spans="1:10" x14ac:dyDescent="0.25">
      <c r="E58">
        <v>44.8</v>
      </c>
      <c r="F58">
        <f t="shared" si="0"/>
        <v>49</v>
      </c>
      <c r="G58">
        <f t="shared" si="1"/>
        <v>0.98</v>
      </c>
      <c r="H58">
        <v>2.0537489106318221</v>
      </c>
      <c r="I58">
        <f t="shared" si="2"/>
        <v>6.6932802122726045</v>
      </c>
      <c r="J58">
        <f t="shared" si="3"/>
        <v>1.1492191126553799</v>
      </c>
    </row>
    <row r="59" spans="1:10" x14ac:dyDescent="0.25">
      <c r="E59">
        <v>14.1</v>
      </c>
      <c r="F59">
        <f t="shared" si="0"/>
        <v>33</v>
      </c>
      <c r="G59">
        <f t="shared" si="1"/>
        <v>0.66</v>
      </c>
      <c r="H59">
        <v>0.41246312944140473</v>
      </c>
      <c r="I59">
        <f t="shared" si="2"/>
        <v>3.7549966711037173</v>
      </c>
      <c r="J59">
        <f t="shared" si="3"/>
        <v>0.53147891704225514</v>
      </c>
    </row>
    <row r="60" spans="1:10" x14ac:dyDescent="0.25">
      <c r="E60">
        <v>3.4</v>
      </c>
      <c r="F60">
        <f t="shared" si="0"/>
        <v>8.5</v>
      </c>
      <c r="G60">
        <f t="shared" si="1"/>
        <v>0.17</v>
      </c>
      <c r="H60">
        <v>-0.95416525314619549</v>
      </c>
      <c r="I60">
        <f t="shared" si="2"/>
        <v>1.8439088914585775</v>
      </c>
      <c r="J60">
        <f t="shared" si="3"/>
        <v>1.4517864355242902</v>
      </c>
    </row>
    <row r="61" spans="1:10" x14ac:dyDescent="0.25">
      <c r="E61">
        <v>28.3</v>
      </c>
      <c r="F61">
        <f t="shared" si="0"/>
        <v>46</v>
      </c>
      <c r="G61">
        <f t="shared" si="1"/>
        <v>0.92</v>
      </c>
      <c r="H61">
        <v>1.4050715603096329</v>
      </c>
      <c r="I61">
        <f t="shared" si="2"/>
        <v>5.3197744313081543</v>
      </c>
      <c r="J61">
        <f t="shared" si="3"/>
        <v>0.53147891704225514</v>
      </c>
    </row>
    <row r="62" spans="1:10" x14ac:dyDescent="0.25">
      <c r="E62">
        <v>3.4</v>
      </c>
      <c r="F62">
        <f t="shared" si="0"/>
        <v>8.5</v>
      </c>
      <c r="G62">
        <f t="shared" si="1"/>
        <v>0.17</v>
      </c>
      <c r="H62">
        <v>-0.95416525314619549</v>
      </c>
      <c r="I62">
        <f t="shared" si="2"/>
        <v>1.8439088914585775</v>
      </c>
      <c r="J62">
        <f t="shared" si="3"/>
        <v>-4.5757490560675115E-2</v>
      </c>
    </row>
    <row r="63" spans="1:10" x14ac:dyDescent="0.25">
      <c r="E63">
        <v>0.9</v>
      </c>
      <c r="F63">
        <f t="shared" si="0"/>
        <v>2</v>
      </c>
      <c r="G63">
        <f t="shared" si="1"/>
        <v>0.04</v>
      </c>
      <c r="H63">
        <v>-1.7506860712521695</v>
      </c>
      <c r="I63">
        <f t="shared" si="2"/>
        <v>0.94868329805051377</v>
      </c>
      <c r="J63">
        <f t="shared" si="3"/>
        <v>0.11394335230683679</v>
      </c>
    </row>
    <row r="64" spans="1:10" x14ac:dyDescent="0.25">
      <c r="E64">
        <v>1.3</v>
      </c>
      <c r="F64">
        <f t="shared" si="0"/>
        <v>4</v>
      </c>
      <c r="G64">
        <f t="shared" si="1"/>
        <v>0.08</v>
      </c>
      <c r="H64">
        <v>-1.4050715603096353</v>
      </c>
      <c r="I64">
        <f t="shared" si="2"/>
        <v>1.1401754250991381</v>
      </c>
      <c r="J64">
        <f t="shared" si="3"/>
        <v>-0.15490195998574319</v>
      </c>
    </row>
    <row r="65" spans="5:10" x14ac:dyDescent="0.25">
      <c r="E65">
        <v>0.7</v>
      </c>
      <c r="F65">
        <f t="shared" si="0"/>
        <v>1</v>
      </c>
      <c r="G65">
        <f t="shared" si="1"/>
        <v>0.02</v>
      </c>
      <c r="H65">
        <v>-2.0537489106318225</v>
      </c>
      <c r="I65">
        <f t="shared" si="2"/>
        <v>0.83666002653407556</v>
      </c>
      <c r="J65">
        <f t="shared" si="3"/>
        <v>1.2479732663618066</v>
      </c>
    </row>
    <row r="66" spans="5:10" x14ac:dyDescent="0.25">
      <c r="E66">
        <v>17.7</v>
      </c>
      <c r="F66">
        <f t="shared" si="0"/>
        <v>38</v>
      </c>
      <c r="G66">
        <f t="shared" si="1"/>
        <v>0.76</v>
      </c>
      <c r="H66">
        <v>0.7063025628400873</v>
      </c>
      <c r="I66">
        <f t="shared" si="2"/>
        <v>4.2071367935925261</v>
      </c>
      <c r="J66">
        <f t="shared" si="3"/>
        <v>0.91907809237607396</v>
      </c>
    </row>
    <row r="67" spans="5:10" x14ac:dyDescent="0.25">
      <c r="E67">
        <v>8.3000000000000007</v>
      </c>
      <c r="F67">
        <f t="shared" si="0"/>
        <v>24.5</v>
      </c>
      <c r="G67">
        <f t="shared" si="1"/>
        <v>0.49</v>
      </c>
      <c r="H67">
        <v>-2.506890825871106E-2</v>
      </c>
      <c r="I67">
        <f t="shared" si="2"/>
        <v>2.8809720581775866</v>
      </c>
      <c r="J67">
        <f t="shared" si="3"/>
        <v>0.91907809237607396</v>
      </c>
    </row>
    <row r="68" spans="5:10" x14ac:dyDescent="0.25">
      <c r="E68">
        <v>8.3000000000000007</v>
      </c>
      <c r="F68">
        <f t="shared" si="0"/>
        <v>24.5</v>
      </c>
      <c r="G68">
        <f t="shared" si="1"/>
        <v>0.49</v>
      </c>
      <c r="H68">
        <v>-2.506890825871106E-2</v>
      </c>
      <c r="I68">
        <f t="shared" si="2"/>
        <v>2.8809720581775866</v>
      </c>
      <c r="J68">
        <f t="shared" si="3"/>
        <v>0.27875360095282892</v>
      </c>
    </row>
    <row r="69" spans="5:10" x14ac:dyDescent="0.25">
      <c r="E69">
        <v>1.9</v>
      </c>
      <c r="F69">
        <f t="shared" si="0"/>
        <v>5</v>
      </c>
      <c r="G69">
        <f t="shared" si="1"/>
        <v>0.1</v>
      </c>
      <c r="H69">
        <v>-1.2815515655446006</v>
      </c>
      <c r="I69">
        <f t="shared" si="2"/>
        <v>1.3784048752090221</v>
      </c>
      <c r="J69">
        <f t="shared" si="3"/>
        <v>1.2227164711475833</v>
      </c>
    </row>
    <row r="70" spans="5:10" x14ac:dyDescent="0.25">
      <c r="E70">
        <v>16.7</v>
      </c>
      <c r="F70">
        <f t="shared" si="0"/>
        <v>35</v>
      </c>
      <c r="G70">
        <f t="shared" si="1"/>
        <v>0.7</v>
      </c>
      <c r="H70">
        <v>0.52440051270804078</v>
      </c>
      <c r="I70">
        <f t="shared" si="2"/>
        <v>4.0865633483405102</v>
      </c>
      <c r="J70">
        <f t="shared" si="3"/>
        <v>1.4183012913197455</v>
      </c>
    </row>
    <row r="71" spans="5:10" x14ac:dyDescent="0.25">
      <c r="E71">
        <v>26.2</v>
      </c>
      <c r="F71">
        <f t="shared" si="0"/>
        <v>44.5</v>
      </c>
      <c r="G71">
        <f t="shared" si="1"/>
        <v>0.89</v>
      </c>
      <c r="H71">
        <v>1.2265281200366105</v>
      </c>
      <c r="I71">
        <f t="shared" si="2"/>
        <v>5.1185935568278911</v>
      </c>
      <c r="J71">
        <f t="shared" si="3"/>
        <v>1</v>
      </c>
    </row>
    <row r="72" spans="5:10" x14ac:dyDescent="0.25">
      <c r="E72">
        <v>10</v>
      </c>
      <c r="F72">
        <f t="shared" si="0"/>
        <v>28.5</v>
      </c>
      <c r="G72">
        <f t="shared" si="1"/>
        <v>0.56999999999999995</v>
      </c>
      <c r="H72">
        <v>0.17637416478086121</v>
      </c>
      <c r="I72">
        <f t="shared" si="2"/>
        <v>3.1622776601683795</v>
      </c>
      <c r="J72">
        <f t="shared" si="3"/>
        <v>0.81291335664285558</v>
      </c>
    </row>
    <row r="73" spans="5:10" x14ac:dyDescent="0.25">
      <c r="E73">
        <v>6.5</v>
      </c>
      <c r="F73">
        <f t="shared" si="0"/>
        <v>17</v>
      </c>
      <c r="G73">
        <f t="shared" si="1"/>
        <v>0.34</v>
      </c>
      <c r="H73">
        <v>-0.41246312944140484</v>
      </c>
      <c r="I73">
        <f t="shared" si="2"/>
        <v>2.5495097567963922</v>
      </c>
      <c r="J73">
        <f t="shared" si="3"/>
        <v>0.85125834871907524</v>
      </c>
    </row>
    <row r="74" spans="5:10" x14ac:dyDescent="0.25">
      <c r="E74">
        <v>7.1</v>
      </c>
      <c r="F74">
        <f t="shared" si="0"/>
        <v>19</v>
      </c>
      <c r="G74">
        <f t="shared" si="1"/>
        <v>0.38</v>
      </c>
      <c r="H74">
        <v>-0.30548078809939727</v>
      </c>
      <c r="I74">
        <f t="shared" si="2"/>
        <v>2.6645825188948455</v>
      </c>
      <c r="J74">
        <f t="shared" si="3"/>
        <v>0.89762709129044149</v>
      </c>
    </row>
    <row r="75" spans="5:10" x14ac:dyDescent="0.25">
      <c r="E75">
        <v>7.9</v>
      </c>
      <c r="F75">
        <f t="shared" si="0"/>
        <v>22</v>
      </c>
      <c r="G75">
        <f t="shared" si="1"/>
        <v>0.44</v>
      </c>
      <c r="H75">
        <v>-0.15096921549677725</v>
      </c>
      <c r="I75">
        <f t="shared" si="2"/>
        <v>2.8106938645110393</v>
      </c>
      <c r="J75">
        <f t="shared" si="3"/>
        <v>0.50514997831990605</v>
      </c>
    </row>
    <row r="76" spans="5:10" x14ac:dyDescent="0.25">
      <c r="E76">
        <v>3.2</v>
      </c>
      <c r="F76">
        <f t="shared" si="0"/>
        <v>7</v>
      </c>
      <c r="G76">
        <f t="shared" si="1"/>
        <v>0.14000000000000001</v>
      </c>
      <c r="H76">
        <v>-1.0803193408149565</v>
      </c>
      <c r="I76">
        <f t="shared" si="2"/>
        <v>1.7888543819998317</v>
      </c>
      <c r="J76">
        <f t="shared" si="3"/>
        <v>0.77085201164214423</v>
      </c>
    </row>
    <row r="77" spans="5:10" x14ac:dyDescent="0.25">
      <c r="E77">
        <v>5.9</v>
      </c>
      <c r="F77">
        <f t="shared" si="0"/>
        <v>14</v>
      </c>
      <c r="G77">
        <f t="shared" si="1"/>
        <v>0.28000000000000003</v>
      </c>
      <c r="H77">
        <v>-0.58284150727121631</v>
      </c>
      <c r="I77">
        <f t="shared" si="2"/>
        <v>2.4289915602982237</v>
      </c>
      <c r="J77">
        <f t="shared" si="3"/>
        <v>1.1271047983648077</v>
      </c>
    </row>
    <row r="78" spans="5:10" x14ac:dyDescent="0.25">
      <c r="E78">
        <v>13.4</v>
      </c>
      <c r="F78">
        <f t="shared" si="0"/>
        <v>32</v>
      </c>
      <c r="G78">
        <f t="shared" si="1"/>
        <v>0.64</v>
      </c>
      <c r="H78">
        <v>0.35845879325119384</v>
      </c>
      <c r="I78">
        <f t="shared" si="2"/>
        <v>3.6606010435446255</v>
      </c>
      <c r="J78">
        <f t="shared" si="3"/>
        <v>1.0791812460476249</v>
      </c>
    </row>
    <row r="79" spans="5:10" x14ac:dyDescent="0.25">
      <c r="E79">
        <v>12</v>
      </c>
      <c r="F79">
        <f t="shared" si="0"/>
        <v>31</v>
      </c>
      <c r="G79">
        <f t="shared" si="1"/>
        <v>0.62</v>
      </c>
      <c r="H79">
        <v>0.30548078809939727</v>
      </c>
      <c r="I79">
        <f t="shared" si="2"/>
        <v>3.4641016151377544</v>
      </c>
      <c r="J79">
        <f t="shared" si="3"/>
        <v>0.63346845557958653</v>
      </c>
    </row>
    <row r="80" spans="5:10" x14ac:dyDescent="0.25">
      <c r="E80">
        <v>4.3</v>
      </c>
      <c r="F80">
        <f t="shared" si="0"/>
        <v>12</v>
      </c>
      <c r="G80">
        <f t="shared" si="1"/>
        <v>0.24</v>
      </c>
      <c r="H80">
        <v>-0.7063025628400873</v>
      </c>
      <c r="I80">
        <f t="shared" si="2"/>
        <v>2.0736441353327719</v>
      </c>
      <c r="J80">
        <f t="shared" si="3"/>
        <v>1.5010592622177514</v>
      </c>
    </row>
    <row r="81" spans="5:10" x14ac:dyDescent="0.25">
      <c r="E81">
        <v>31.7</v>
      </c>
      <c r="F81">
        <f t="shared" si="0"/>
        <v>47</v>
      </c>
      <c r="G81">
        <f t="shared" si="1"/>
        <v>0.94</v>
      </c>
      <c r="H81">
        <v>1.5547735945968528</v>
      </c>
      <c r="I81">
        <f t="shared" si="2"/>
        <v>5.6302753041036988</v>
      </c>
      <c r="J81" t="e">
        <f t="shared" si="3"/>
        <v>#NUM!</v>
      </c>
    </row>
  </sheetData>
  <phoneticPr fontId="1" type="noConversion"/>
  <pageMargins left="0.75" right="0.75" top="1" bottom="1" header="0.5" footer="0.5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25"/>
  <sheetData/>
  <phoneticPr fontId="1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25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한성대학교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엄종석</dc:creator>
  <cp:lastModifiedBy>이지형</cp:lastModifiedBy>
  <dcterms:created xsi:type="dcterms:W3CDTF">2005-05-02T10:05:41Z</dcterms:created>
  <dcterms:modified xsi:type="dcterms:W3CDTF">2026-05-04T07:07:10Z</dcterms:modified>
</cp:coreProperties>
</file>