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ny\OneDrive\바탕 화면\"/>
    </mc:Choice>
  </mc:AlternateContent>
  <xr:revisionPtr revIDLastSave="0" documentId="13_ncr:1_{08128042-CDDF-4A49-A121-F21DD11DC29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chart.v1.0" hidden="1">Sheet3!$I$22:$I$29</definedName>
    <definedName name="_xlchart.v1.1" hidden="1">Sheet3!$J$22:$J$29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D19" i="3"/>
  <c r="D17" i="3"/>
  <c r="D15" i="3"/>
  <c r="D5" i="3"/>
  <c r="D6" i="3"/>
  <c r="D8" i="3"/>
  <c r="D7" i="3"/>
  <c r="I8" i="3" l="1" a="1"/>
  <c r="I8" i="3" s="1"/>
  <c r="J24" i="2"/>
  <c r="J25" i="2"/>
  <c r="J26" i="2"/>
  <c r="J23" i="2"/>
  <c r="J22" i="2"/>
  <c r="I22" i="2"/>
  <c r="I23" i="2"/>
  <c r="I24" i="2"/>
  <c r="I25" i="2"/>
  <c r="I26" i="2"/>
  <c r="I27" i="2"/>
  <c r="I21" i="2"/>
  <c r="J2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<sst xmlns="http://schemas.openxmlformats.org/spreadsheetml/2006/main" count="52" uniqueCount="45">
  <si>
    <t>키</t>
    <phoneticPr fontId="1" type="noConversion"/>
  </si>
  <si>
    <t>실습</t>
    <phoneticPr fontId="1" type="noConversion"/>
  </si>
  <si>
    <t>1. 혈액형 자료 복사</t>
    <phoneticPr fontId="1" type="noConversion"/>
  </si>
  <si>
    <t>1) 막대그래프</t>
    <phoneticPr fontId="1" type="noConversion"/>
  </si>
  <si>
    <t>2)원형 차트</t>
    <phoneticPr fontId="1" type="noConversion"/>
  </si>
  <si>
    <t>2. 그룹화된 막대그래프</t>
    <phoneticPr fontId="1" type="noConversion"/>
  </si>
  <si>
    <t>영업팀 판매수량 데이터 복사</t>
    <phoneticPr fontId="1" type="noConversion"/>
  </si>
  <si>
    <t>3. 파레토 곡선</t>
    <phoneticPr fontId="1" type="noConversion"/>
  </si>
  <si>
    <t>미용 화장지 불량 요인 데이터 보사</t>
    <phoneticPr fontId="1" type="noConversion"/>
  </si>
  <si>
    <t xml:space="preserve">4. 양적 자료 </t>
    <phoneticPr fontId="1" type="noConversion"/>
  </si>
  <si>
    <t>1) 도수분포표</t>
    <phoneticPr fontId="1" type="noConversion"/>
  </si>
  <si>
    <t>2)히스토그램</t>
    <phoneticPr fontId="1" type="noConversion"/>
  </si>
  <si>
    <t>3) 도수 다각형</t>
    <phoneticPr fontId="1" type="noConversion"/>
  </si>
  <si>
    <t>min</t>
    <phoneticPr fontId="1" type="noConversion"/>
  </si>
  <si>
    <t>max</t>
    <phoneticPr fontId="1" type="noConversion"/>
  </si>
  <si>
    <t>stem</t>
    <phoneticPr fontId="1" type="noConversion"/>
  </si>
  <si>
    <t>leaf</t>
    <phoneticPr fontId="1" type="noConversion"/>
  </si>
  <si>
    <t>15-</t>
    <phoneticPr fontId="1" type="noConversion"/>
  </si>
  <si>
    <t>15+</t>
    <phoneticPr fontId="1" type="noConversion"/>
  </si>
  <si>
    <t>16-</t>
  </si>
  <si>
    <t>16+</t>
  </si>
  <si>
    <t>17-</t>
  </si>
  <si>
    <t>17+</t>
  </si>
  <si>
    <t>부서</t>
  </si>
  <si>
    <t>판매 수량</t>
  </si>
  <si>
    <t>영업1팀</t>
  </si>
  <si>
    <t>영업2팀</t>
  </si>
  <si>
    <t>영업3팀</t>
  </si>
  <si>
    <t>영업4팀</t>
  </si>
  <si>
    <t xml:space="preserve"> 불량의 종류</t>
  </si>
  <si>
    <t>도수</t>
  </si>
  <si>
    <t>상대도수</t>
  </si>
  <si>
    <t>누적상대도수</t>
  </si>
  <si>
    <t>찢어짐</t>
  </si>
  <si>
    <t>구멍 뚫림</t>
  </si>
  <si>
    <t>기타</t>
  </si>
  <si>
    <t>잘못 접혀짐</t>
  </si>
  <si>
    <t>크기 불량</t>
  </si>
  <si>
    <t>두께 불량</t>
  </si>
  <si>
    <t>합계</t>
  </si>
  <si>
    <t>lower</t>
    <phoneticPr fontId="1" type="noConversion"/>
  </si>
  <si>
    <t>upper</t>
  </si>
  <si>
    <t>upper</t>
    <phoneticPr fontId="1" type="noConversion"/>
  </si>
  <si>
    <t>freq</t>
    <phoneticPr fontId="1" type="noConversion"/>
  </si>
  <si>
    <t>빈도수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</si>
</sst>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돋움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8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7" xfId="0" applyFill="1" applyBorder="1" applyAlignment="1"/>
    <xf numFmtId="0" fontId="2" fillId="0" borderId="8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Sheet2!$G$8:$G$13</c15:sqref>
                  </c15:fullRef>
                </c:ext>
              </c:extLst>
              <c:f>Sheet2!$G$10:$G$13</c:f>
              <c:strCache>
                <c:ptCount val="4"/>
                <c:pt idx="0">
                  <c:v>영업1팀</c:v>
                </c:pt>
                <c:pt idx="1">
                  <c:v>영업2팀</c:v>
                </c:pt>
                <c:pt idx="2">
                  <c:v>영업3팀</c:v>
                </c:pt>
                <c:pt idx="3">
                  <c:v>영업4팀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Sheet2!$H$8:$H$13</c15:sqref>
                  </c15:fullRef>
                </c:ext>
              </c:extLst>
              <c:f>Sheet2!$H$10:$H$13</c:f>
              <c:numCache>
                <c:formatCode>General</c:formatCode>
                <c:ptCount val="4"/>
                <c:pt idx="0">
                  <c:v>4</c:v>
                </c:pt>
                <c:pt idx="1">
                  <c:v>18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0-4251-A51D-DDC8C84AA64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Sheet2!$G$8:$G$13</c15:sqref>
                  </c15:fullRef>
                </c:ext>
              </c:extLst>
              <c:f>Sheet2!$G$10:$G$13</c:f>
              <c:strCache>
                <c:ptCount val="4"/>
                <c:pt idx="0">
                  <c:v>영업1팀</c:v>
                </c:pt>
                <c:pt idx="1">
                  <c:v>영업2팀</c:v>
                </c:pt>
                <c:pt idx="2">
                  <c:v>영업3팀</c:v>
                </c:pt>
                <c:pt idx="3">
                  <c:v>영업4팀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Sheet2!$I$8:$I$13</c15:sqref>
                  </c15:fullRef>
                </c:ext>
              </c:extLst>
              <c:f>Sheet2!$I$10:$I$13</c:f>
              <c:numCache>
                <c:formatCode>General</c:formatCode>
                <c:ptCount val="4"/>
                <c:pt idx="0">
                  <c:v>9</c:v>
                </c:pt>
                <c:pt idx="1">
                  <c:v>15</c:v>
                </c:pt>
                <c:pt idx="2">
                  <c:v>20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70-4251-A51D-DDC8C84AA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1198128"/>
        <c:axId val="1231198608"/>
      </c:barChart>
      <c:catAx>
        <c:axId val="12311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1198608"/>
        <c:crosses val="autoZero"/>
        <c:auto val="1"/>
        <c:lblAlgn val="ctr"/>
        <c:lblOffset val="100"/>
        <c:noMultiLvlLbl val="0"/>
      </c:catAx>
      <c:valAx>
        <c:axId val="12311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119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9541666666666666"/>
          <c:w val="0.86053258967629043"/>
          <c:h val="0.560840988626421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Sheet2!$H$20</c:f>
              <c:strCache>
                <c:ptCount val="1"/>
                <c:pt idx="0">
                  <c:v>도수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Sheet2!$G$21:$G$27</c15:sqref>
                  </c15:fullRef>
                </c:ext>
              </c:extLst>
              <c:f>Sheet2!$G$21:$G$26</c:f>
              <c:strCache>
                <c:ptCount val="6"/>
                <c:pt idx="0">
                  <c:v>찢어짐</c:v>
                </c:pt>
                <c:pt idx="1">
                  <c:v>구멍 뚫림</c:v>
                </c:pt>
                <c:pt idx="2">
                  <c:v>기타</c:v>
                </c:pt>
                <c:pt idx="3">
                  <c:v>잘못 접혀짐</c:v>
                </c:pt>
                <c:pt idx="4">
                  <c:v>크기 불량</c:v>
                </c:pt>
                <c:pt idx="5">
                  <c:v>두께 불량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Sheet2!$H$21:$H$27</c15:sqref>
                  </c15:fullRef>
                </c:ext>
              </c:extLst>
              <c:f>Sheet2!$H$21:$H$26</c:f>
              <c:numCache>
                <c:formatCode>General</c:formatCode>
                <c:ptCount val="6"/>
                <c:pt idx="0">
                  <c:v>23</c:v>
                </c:pt>
                <c:pt idx="1">
                  <c:v>16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9-4493-8206-DD4DF9AA7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8546448"/>
        <c:axId val="1398548848"/>
      </c:barChart>
      <c:lineChart>
        <c:grouping val="standard"/>
        <c:varyColors val="0"/>
        <c:ser>
          <c:idx val="1"/>
          <c:order val="1"/>
          <c:tx>
            <c:strRef>
              <c:f>Sheet2!$I$20</c:f>
              <c:strCache>
                <c:ptCount val="1"/>
                <c:pt idx="0">
                  <c:v>상대도수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Sheet2!$G$21:$G$27</c15:sqref>
                  </c15:fullRef>
                </c:ext>
              </c:extLst>
              <c:f>Sheet2!$G$21:$G$26</c:f>
              <c:strCache>
                <c:ptCount val="6"/>
                <c:pt idx="0">
                  <c:v>찢어짐</c:v>
                </c:pt>
                <c:pt idx="1">
                  <c:v>구멍 뚫림</c:v>
                </c:pt>
                <c:pt idx="2">
                  <c:v>기타</c:v>
                </c:pt>
                <c:pt idx="3">
                  <c:v>잘못 접혀짐</c:v>
                </c:pt>
                <c:pt idx="4">
                  <c:v>크기 불량</c:v>
                </c:pt>
                <c:pt idx="5">
                  <c:v>두께 불량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Sheet2!$I$21:$I$27</c15:sqref>
                  </c15:fullRef>
                </c:ext>
              </c:extLst>
              <c:f>Sheet2!$I$21:$I$26</c:f>
              <c:numCache>
                <c:formatCode>General</c:formatCode>
                <c:ptCount val="6"/>
                <c:pt idx="0">
                  <c:v>0.46</c:v>
                </c:pt>
                <c:pt idx="1">
                  <c:v>0.32</c:v>
                </c:pt>
                <c:pt idx="2">
                  <c:v>0.08</c:v>
                </c:pt>
                <c:pt idx="3">
                  <c:v>0.06</c:v>
                </c:pt>
                <c:pt idx="4">
                  <c:v>0.04</c:v>
                </c:pt>
                <c:pt idx="5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9-4493-8206-DD4DF9AA7FAC}"/>
            </c:ext>
          </c:extLst>
        </c:ser>
        <c:ser>
          <c:idx val="2"/>
          <c:order val="2"/>
          <c:tx>
            <c:strRef>
              <c:f>Sheet2!$J$20</c:f>
              <c:strCache>
                <c:ptCount val="1"/>
                <c:pt idx="0">
                  <c:v>누적상대도수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Sheet2!$G$21:$G$27</c15:sqref>
                  </c15:fullRef>
                </c:ext>
              </c:extLst>
              <c:f>Sheet2!$G$21:$G$26</c:f>
              <c:strCache>
                <c:ptCount val="6"/>
                <c:pt idx="0">
                  <c:v>찢어짐</c:v>
                </c:pt>
                <c:pt idx="1">
                  <c:v>구멍 뚫림</c:v>
                </c:pt>
                <c:pt idx="2">
                  <c:v>기타</c:v>
                </c:pt>
                <c:pt idx="3">
                  <c:v>잘못 접혀짐</c:v>
                </c:pt>
                <c:pt idx="4">
                  <c:v>크기 불량</c:v>
                </c:pt>
                <c:pt idx="5">
                  <c:v>두께 불량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Sheet2!$J$21:$J$27</c15:sqref>
                  </c15:fullRef>
                </c:ext>
              </c:extLst>
              <c:f>Sheet2!$J$21:$J$26</c:f>
              <c:numCache>
                <c:formatCode>General</c:formatCode>
                <c:ptCount val="6"/>
                <c:pt idx="0">
                  <c:v>0.46</c:v>
                </c:pt>
                <c:pt idx="1">
                  <c:v>0.78</c:v>
                </c:pt>
                <c:pt idx="2">
                  <c:v>0.86</c:v>
                </c:pt>
                <c:pt idx="3">
                  <c:v>0.91999999999999993</c:v>
                </c:pt>
                <c:pt idx="4">
                  <c:v>0.96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19-4493-8206-DD4DF9AA7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466816"/>
        <c:axId val="1334470176"/>
      </c:lineChart>
      <c:catAx>
        <c:axId val="139854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8548848"/>
        <c:crosses val="autoZero"/>
        <c:auto val="1"/>
        <c:lblAlgn val="ctr"/>
        <c:lblOffset val="100"/>
        <c:noMultiLvlLbl val="0"/>
      </c:catAx>
      <c:valAx>
        <c:axId val="139854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98546448"/>
        <c:crosses val="autoZero"/>
        <c:crossBetween val="between"/>
      </c:valAx>
      <c:valAx>
        <c:axId val="13344701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4466816"/>
        <c:crosses val="max"/>
        <c:crossBetween val="between"/>
      </c:valAx>
      <c:catAx>
        <c:axId val="1334466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3447017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빈도수</c:v>
          </c:tx>
          <c:marker>
            <c:symbol val="none"/>
          </c:marker>
          <c:cat>
            <c:strRef>
              <c:f>Sheet3!$I$22:$I$29</c:f>
              <c:strCache>
                <c:ptCount val="8"/>
                <c:pt idx="0">
                  <c:v>154.5</c:v>
                </c:pt>
                <c:pt idx="1">
                  <c:v>159.5</c:v>
                </c:pt>
                <c:pt idx="2">
                  <c:v>164.5</c:v>
                </c:pt>
                <c:pt idx="3">
                  <c:v>169.5</c:v>
                </c:pt>
                <c:pt idx="4">
                  <c:v>174.5</c:v>
                </c:pt>
                <c:pt idx="5">
                  <c:v>179.5</c:v>
                </c:pt>
                <c:pt idx="6">
                  <c:v>184.5</c:v>
                </c:pt>
                <c:pt idx="7">
                  <c:v>기타</c:v>
                </c:pt>
              </c:strCache>
            </c:strRef>
          </c:cat>
          <c:val>
            <c:numRef>
              <c:f>Sheet3!$J$22:$J$29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14</c:v>
                </c:pt>
                <c:pt idx="3">
                  <c:v>8</c:v>
                </c:pt>
                <c:pt idx="4">
                  <c:v>12</c:v>
                </c:pt>
                <c:pt idx="5">
                  <c:v>7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12-4C2D-83A3-A1D78419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147616"/>
        <c:axId val="1245890624"/>
      </c:lineChart>
      <c:catAx>
        <c:axId val="1239147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upper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5890624"/>
        <c:crosses val="autoZero"/>
        <c:auto val="1"/>
        <c:lblAlgn val="ctr"/>
        <c:lblOffset val="100"/>
        <c:noMultiLvlLbl val="0"/>
      </c:catAx>
      <c:valAx>
        <c:axId val="1245890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9147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히스토그램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빈도수</c:v>
          </c:tx>
          <c:invertIfNegative val="0"/>
          <c:cat>
            <c:strRef>
              <c:f>Sheet3!$I$22:$I$29</c:f>
              <c:strCache>
                <c:ptCount val="8"/>
                <c:pt idx="0">
                  <c:v>154.5</c:v>
                </c:pt>
                <c:pt idx="1">
                  <c:v>159.5</c:v>
                </c:pt>
                <c:pt idx="2">
                  <c:v>164.5</c:v>
                </c:pt>
                <c:pt idx="3">
                  <c:v>169.5</c:v>
                </c:pt>
                <c:pt idx="4">
                  <c:v>174.5</c:v>
                </c:pt>
                <c:pt idx="5">
                  <c:v>179.5</c:v>
                </c:pt>
                <c:pt idx="6">
                  <c:v>184.5</c:v>
                </c:pt>
                <c:pt idx="7">
                  <c:v>기타</c:v>
                </c:pt>
              </c:strCache>
            </c:strRef>
          </c:cat>
          <c:val>
            <c:numRef>
              <c:f>Sheet3!$J$22:$J$29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14</c:v>
                </c:pt>
                <c:pt idx="3">
                  <c:v>8</c:v>
                </c:pt>
                <c:pt idx="4">
                  <c:v>12</c:v>
                </c:pt>
                <c:pt idx="5">
                  <c:v>7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3-4096-A0E6-57E518E9A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147616"/>
        <c:axId val="1245890624"/>
      </c:barChart>
      <c:catAx>
        <c:axId val="1239147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upper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5890624"/>
        <c:crosses val="autoZero"/>
        <c:auto val="1"/>
        <c:lblAlgn val="ctr"/>
        <c:lblOffset val="100"/>
        <c:noMultiLvlLbl val="0"/>
      </c:catAx>
      <c:valAx>
        <c:axId val="12458906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빈도수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9147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26670</xdr:rowOff>
    </xdr:from>
    <xdr:to>
      <xdr:col>18</xdr:col>
      <xdr:colOff>308610</xdr:colOff>
      <xdr:row>12</xdr:row>
      <xdr:rowOff>476250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693112F-977D-D008-40D5-25B7A86E0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64770</xdr:colOff>
      <xdr:row>17</xdr:row>
      <xdr:rowOff>171450</xdr:rowOff>
    </xdr:from>
    <xdr:to>
      <xdr:col>16</xdr:col>
      <xdr:colOff>613410</xdr:colOff>
      <xdr:row>28</xdr:row>
      <xdr:rowOff>156210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2308FA8-EEC4-327A-281B-1C0CADA58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34</xdr:row>
      <xdr:rowOff>0</xdr:rowOff>
    </xdr:from>
    <xdr:to>
      <xdr:col>17</xdr:col>
      <xdr:colOff>365760</xdr:colOff>
      <xdr:row>50</xdr:row>
      <xdr:rowOff>30480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3A21145-7FB3-4CE8-B290-DC9167C0C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99060</xdr:colOff>
      <xdr:row>33</xdr:row>
      <xdr:rowOff>175260</xdr:rowOff>
    </xdr:from>
    <xdr:to>
      <xdr:col>9</xdr:col>
      <xdr:colOff>464820</xdr:colOff>
      <xdr:row>50</xdr:row>
      <xdr:rowOff>22860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14E745A-BFA8-4C59-AE30-98744AE64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2"/>
  <sheetViews>
    <sheetView workbookViewId="0">
      <selection sqref="A1:A52"/>
    </sheetView>
  </sheetViews>
  <sheetFormatPr defaultRowHeight="14.4" x14ac:dyDescent="0.25"/>
  <sheetData>
    <row r="1" spans="1:1" x14ac:dyDescent="0.25">
      <c r="A1" t="s">
        <v>0</v>
      </c>
    </row>
    <row r="2" spans="1:1" x14ac:dyDescent="0.25">
      <c r="A2">
        <v>181</v>
      </c>
    </row>
    <row r="3" spans="1:1" x14ac:dyDescent="0.25">
      <c r="A3">
        <v>161</v>
      </c>
    </row>
    <row r="4" spans="1:1" x14ac:dyDescent="0.25">
      <c r="A4">
        <v>170</v>
      </c>
    </row>
    <row r="5" spans="1:1" x14ac:dyDescent="0.25">
      <c r="A5">
        <v>160</v>
      </c>
    </row>
    <row r="6" spans="1:1" x14ac:dyDescent="0.25">
      <c r="A6">
        <v>158</v>
      </c>
    </row>
    <row r="7" spans="1:1" x14ac:dyDescent="0.25">
      <c r="A7">
        <v>169</v>
      </c>
    </row>
    <row r="8" spans="1:1" x14ac:dyDescent="0.25">
      <c r="A8">
        <v>162</v>
      </c>
    </row>
    <row r="9" spans="1:1" x14ac:dyDescent="0.25">
      <c r="A9">
        <v>179</v>
      </c>
    </row>
    <row r="10" spans="1:1" x14ac:dyDescent="0.25">
      <c r="A10">
        <v>183</v>
      </c>
    </row>
    <row r="11" spans="1:1" x14ac:dyDescent="0.25">
      <c r="A11">
        <v>178</v>
      </c>
    </row>
    <row r="12" spans="1:1" x14ac:dyDescent="0.25">
      <c r="A12">
        <v>171</v>
      </c>
    </row>
    <row r="13" spans="1:1" x14ac:dyDescent="0.25">
      <c r="A13">
        <v>177</v>
      </c>
    </row>
    <row r="14" spans="1:1" x14ac:dyDescent="0.25">
      <c r="A14">
        <v>163</v>
      </c>
    </row>
    <row r="15" spans="1:1" x14ac:dyDescent="0.25">
      <c r="A15">
        <v>158</v>
      </c>
    </row>
    <row r="16" spans="1:1" x14ac:dyDescent="0.25">
      <c r="A16">
        <v>160</v>
      </c>
    </row>
    <row r="17" spans="1:1" x14ac:dyDescent="0.25">
      <c r="A17">
        <v>160</v>
      </c>
    </row>
    <row r="18" spans="1:1" x14ac:dyDescent="0.25">
      <c r="A18">
        <v>158</v>
      </c>
    </row>
    <row r="19" spans="1:1" x14ac:dyDescent="0.25">
      <c r="A19">
        <v>174</v>
      </c>
    </row>
    <row r="20" spans="1:1" x14ac:dyDescent="0.25">
      <c r="A20">
        <v>160</v>
      </c>
    </row>
    <row r="21" spans="1:1" x14ac:dyDescent="0.25">
      <c r="A21">
        <v>163</v>
      </c>
    </row>
    <row r="22" spans="1:1" x14ac:dyDescent="0.25">
      <c r="A22">
        <v>167</v>
      </c>
    </row>
    <row r="23" spans="1:1" x14ac:dyDescent="0.25">
      <c r="A23">
        <v>165</v>
      </c>
    </row>
    <row r="24" spans="1:1" x14ac:dyDescent="0.25">
      <c r="A24">
        <v>163</v>
      </c>
    </row>
    <row r="25" spans="1:1" x14ac:dyDescent="0.25">
      <c r="A25">
        <v>173</v>
      </c>
    </row>
    <row r="26" spans="1:1" x14ac:dyDescent="0.25">
      <c r="A26">
        <v>178</v>
      </c>
    </row>
    <row r="27" spans="1:1" x14ac:dyDescent="0.25">
      <c r="A27">
        <v>170</v>
      </c>
    </row>
    <row r="28" spans="1:1" x14ac:dyDescent="0.25">
      <c r="A28">
        <v>167</v>
      </c>
    </row>
    <row r="29" spans="1:1" x14ac:dyDescent="0.25">
      <c r="A29">
        <v>177</v>
      </c>
    </row>
    <row r="30" spans="1:1" x14ac:dyDescent="0.25">
      <c r="A30">
        <v>176</v>
      </c>
    </row>
    <row r="31" spans="1:1" x14ac:dyDescent="0.25">
      <c r="A31">
        <v>170</v>
      </c>
    </row>
    <row r="32" spans="1:1" x14ac:dyDescent="0.25">
      <c r="A32">
        <v>152</v>
      </c>
    </row>
    <row r="33" spans="1:1" x14ac:dyDescent="0.25">
      <c r="A33">
        <v>158</v>
      </c>
    </row>
    <row r="34" spans="1:1" x14ac:dyDescent="0.25">
      <c r="A34">
        <v>160</v>
      </c>
    </row>
    <row r="35" spans="1:1" x14ac:dyDescent="0.25">
      <c r="A35">
        <v>160</v>
      </c>
    </row>
    <row r="36" spans="1:1" x14ac:dyDescent="0.25">
      <c r="A36">
        <v>159</v>
      </c>
    </row>
    <row r="37" spans="1:1" x14ac:dyDescent="0.25">
      <c r="A37">
        <v>180</v>
      </c>
    </row>
    <row r="38" spans="1:1" x14ac:dyDescent="0.25">
      <c r="A38">
        <v>169</v>
      </c>
    </row>
    <row r="39" spans="1:1" x14ac:dyDescent="0.25">
      <c r="A39">
        <v>162</v>
      </c>
    </row>
    <row r="40" spans="1:1" x14ac:dyDescent="0.25">
      <c r="A40">
        <v>178</v>
      </c>
    </row>
    <row r="41" spans="1:1" x14ac:dyDescent="0.25">
      <c r="A41">
        <v>173</v>
      </c>
    </row>
    <row r="42" spans="1:1" x14ac:dyDescent="0.25">
      <c r="A42">
        <v>173</v>
      </c>
    </row>
    <row r="43" spans="1:1" x14ac:dyDescent="0.25">
      <c r="A43">
        <v>171</v>
      </c>
    </row>
    <row r="44" spans="1:1" x14ac:dyDescent="0.25">
      <c r="A44">
        <v>171</v>
      </c>
    </row>
    <row r="45" spans="1:1" x14ac:dyDescent="0.25">
      <c r="A45">
        <v>170</v>
      </c>
    </row>
    <row r="46" spans="1:1" x14ac:dyDescent="0.25">
      <c r="A46">
        <v>160</v>
      </c>
    </row>
    <row r="47" spans="1:1" x14ac:dyDescent="0.25">
      <c r="A47">
        <v>167</v>
      </c>
    </row>
    <row r="48" spans="1:1" x14ac:dyDescent="0.25">
      <c r="A48">
        <v>168</v>
      </c>
    </row>
    <row r="49" spans="1:1" x14ac:dyDescent="0.25">
      <c r="A49">
        <v>166</v>
      </c>
    </row>
    <row r="50" spans="1:1" x14ac:dyDescent="0.25">
      <c r="A50">
        <v>164</v>
      </c>
    </row>
    <row r="51" spans="1:1" x14ac:dyDescent="0.25">
      <c r="A51">
        <v>174</v>
      </c>
    </row>
    <row r="52" spans="1:1" x14ac:dyDescent="0.25">
      <c r="A52">
        <v>180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selection activeCell="I17" sqref="I17"/>
    </sheetView>
  </sheetViews>
  <sheetFormatPr defaultRowHeight="14.4" x14ac:dyDescent="0.25"/>
  <sheetData>
    <row r="1" spans="1:9" x14ac:dyDescent="0.25">
      <c r="A1" s="1" t="s">
        <v>1</v>
      </c>
    </row>
    <row r="2" spans="1:9" x14ac:dyDescent="0.25">
      <c r="A2" s="1" t="s">
        <v>2</v>
      </c>
    </row>
    <row r="3" spans="1:9" x14ac:dyDescent="0.25">
      <c r="B3" s="1" t="s">
        <v>3</v>
      </c>
    </row>
    <row r="4" spans="1:9" x14ac:dyDescent="0.25">
      <c r="B4" s="1" t="s">
        <v>4</v>
      </c>
    </row>
    <row r="6" spans="1:9" x14ac:dyDescent="0.25">
      <c r="A6" s="1" t="s">
        <v>5</v>
      </c>
    </row>
    <row r="7" spans="1:9" ht="15" thickBot="1" x14ac:dyDescent="0.3">
      <c r="B7" s="1" t="s">
        <v>6</v>
      </c>
    </row>
    <row r="8" spans="1:9" ht="22.8" thickBot="1" x14ac:dyDescent="0.3">
      <c r="G8" s="3" t="s">
        <v>23</v>
      </c>
      <c r="H8" s="5" t="s">
        <v>24</v>
      </c>
      <c r="I8" s="6"/>
    </row>
    <row r="9" spans="1:9" ht="22.8" thickBot="1" x14ac:dyDescent="0.3">
      <c r="A9" s="1" t="s">
        <v>7</v>
      </c>
      <c r="G9" s="4"/>
      <c r="H9" s="2">
        <v>2019</v>
      </c>
      <c r="I9" s="2">
        <v>2020</v>
      </c>
    </row>
    <row r="10" spans="1:9" ht="45" thickBot="1" x14ac:dyDescent="0.3">
      <c r="B10" s="1" t="s">
        <v>8</v>
      </c>
      <c r="G10" s="2" t="s">
        <v>25</v>
      </c>
      <c r="H10" s="2">
        <v>4</v>
      </c>
      <c r="I10" s="2">
        <v>9</v>
      </c>
    </row>
    <row r="11" spans="1:9" ht="45" thickBot="1" x14ac:dyDescent="0.3">
      <c r="G11" s="2" t="s">
        <v>26</v>
      </c>
      <c r="H11" s="2">
        <v>18</v>
      </c>
      <c r="I11" s="2">
        <v>15</v>
      </c>
    </row>
    <row r="12" spans="1:9" ht="45" thickBot="1" x14ac:dyDescent="0.3">
      <c r="A12" s="1" t="s">
        <v>9</v>
      </c>
      <c r="G12" s="2" t="s">
        <v>27</v>
      </c>
      <c r="H12" s="2">
        <v>5</v>
      </c>
      <c r="I12" s="2">
        <v>20</v>
      </c>
    </row>
    <row r="13" spans="1:9" ht="45" thickBot="1" x14ac:dyDescent="0.3">
      <c r="B13" s="1" t="s">
        <v>10</v>
      </c>
      <c r="G13" s="2" t="s">
        <v>28</v>
      </c>
      <c r="H13" s="2">
        <v>8</v>
      </c>
      <c r="I13" s="2">
        <v>6</v>
      </c>
    </row>
    <row r="14" spans="1:9" x14ac:dyDescent="0.25">
      <c r="B14" t="s">
        <v>11</v>
      </c>
    </row>
    <row r="15" spans="1:9" x14ac:dyDescent="0.25">
      <c r="B15" s="1" t="s">
        <v>12</v>
      </c>
    </row>
    <row r="20" spans="7:10" ht="34.799999999999997" x14ac:dyDescent="0.25">
      <c r="G20" s="7" t="s">
        <v>29</v>
      </c>
      <c r="H20" s="7" t="s">
        <v>30</v>
      </c>
      <c r="I20" s="7" t="s">
        <v>31</v>
      </c>
      <c r="J20" s="7" t="s">
        <v>32</v>
      </c>
    </row>
    <row r="21" spans="7:10" ht="17.399999999999999" x14ac:dyDescent="0.25">
      <c r="G21" s="7" t="s">
        <v>33</v>
      </c>
      <c r="H21" s="7">
        <v>23</v>
      </c>
      <c r="I21" s="8">
        <f>H21/$H$27</f>
        <v>0.46</v>
      </c>
      <c r="J21" s="8">
        <f>I21</f>
        <v>0.46</v>
      </c>
    </row>
    <row r="22" spans="7:10" ht="17.399999999999999" x14ac:dyDescent="0.25">
      <c r="G22" s="7" t="s">
        <v>34</v>
      </c>
      <c r="H22" s="7">
        <v>16</v>
      </c>
      <c r="I22" s="8">
        <f t="shared" ref="I22:I27" si="0">H22/$H$27</f>
        <v>0.32</v>
      </c>
      <c r="J22" s="8">
        <f>J21+I22</f>
        <v>0.78</v>
      </c>
    </row>
    <row r="23" spans="7:10" ht="17.399999999999999" x14ac:dyDescent="0.25">
      <c r="G23" s="7" t="s">
        <v>35</v>
      </c>
      <c r="H23" s="7">
        <v>4</v>
      </c>
      <c r="I23" s="8">
        <f t="shared" si="0"/>
        <v>0.08</v>
      </c>
      <c r="J23" s="8">
        <f>J22+I23</f>
        <v>0.86</v>
      </c>
    </row>
    <row r="24" spans="7:10" ht="34.799999999999997" x14ac:dyDescent="0.25">
      <c r="G24" s="7" t="s">
        <v>36</v>
      </c>
      <c r="H24" s="7">
        <v>3</v>
      </c>
      <c r="I24" s="8">
        <f t="shared" si="0"/>
        <v>0.06</v>
      </c>
      <c r="J24" s="8">
        <f t="shared" ref="J24:J27" si="1">J23+I24</f>
        <v>0.91999999999999993</v>
      </c>
    </row>
    <row r="25" spans="7:10" ht="17.399999999999999" x14ac:dyDescent="0.25">
      <c r="G25" s="7" t="s">
        <v>37</v>
      </c>
      <c r="H25" s="7">
        <v>2</v>
      </c>
      <c r="I25" s="8">
        <f t="shared" si="0"/>
        <v>0.04</v>
      </c>
      <c r="J25" s="8">
        <f t="shared" si="1"/>
        <v>0.96</v>
      </c>
    </row>
    <row r="26" spans="7:10" ht="17.399999999999999" x14ac:dyDescent="0.25">
      <c r="G26" s="7" t="s">
        <v>38</v>
      </c>
      <c r="H26" s="7">
        <v>2</v>
      </c>
      <c r="I26" s="8">
        <f t="shared" si="0"/>
        <v>0.04</v>
      </c>
      <c r="J26" s="8">
        <f t="shared" si="1"/>
        <v>1</v>
      </c>
    </row>
    <row r="27" spans="7:10" ht="17.399999999999999" x14ac:dyDescent="0.25">
      <c r="G27" s="7" t="s">
        <v>39</v>
      </c>
      <c r="H27" s="7">
        <v>50</v>
      </c>
      <c r="I27" s="8">
        <f t="shared" si="0"/>
        <v>1</v>
      </c>
      <c r="J27" s="8">
        <v>1</v>
      </c>
    </row>
  </sheetData>
  <mergeCells count="2">
    <mergeCell ref="G8:G9"/>
    <mergeCell ref="H8:I8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"/>
  <sheetViews>
    <sheetView tabSelected="1" workbookViewId="0">
      <selection activeCell="D16" sqref="D16"/>
    </sheetView>
  </sheetViews>
  <sheetFormatPr defaultRowHeight="14.4" x14ac:dyDescent="0.25"/>
  <sheetData>
    <row r="1" spans="1:9" x14ac:dyDescent="0.25">
      <c r="A1" t="s">
        <v>0</v>
      </c>
      <c r="C1" s="1" t="s">
        <v>13</v>
      </c>
      <c r="D1">
        <v>152</v>
      </c>
      <c r="F1" s="1">
        <v>31</v>
      </c>
    </row>
    <row r="2" spans="1:9" x14ac:dyDescent="0.25">
      <c r="A2">
        <v>181</v>
      </c>
      <c r="C2" s="1" t="s">
        <v>14</v>
      </c>
      <c r="D2">
        <v>183</v>
      </c>
      <c r="F2">
        <v>4.42</v>
      </c>
    </row>
    <row r="3" spans="1:9" x14ac:dyDescent="0.25">
      <c r="A3">
        <v>161</v>
      </c>
      <c r="F3">
        <v>5</v>
      </c>
    </row>
    <row r="4" spans="1:9" x14ac:dyDescent="0.25">
      <c r="A4">
        <v>170</v>
      </c>
      <c r="C4" s="1" t="s">
        <v>15</v>
      </c>
      <c r="D4" s="1" t="s">
        <v>16</v>
      </c>
    </row>
    <row r="5" spans="1:9" x14ac:dyDescent="0.25">
      <c r="A5">
        <v>160</v>
      </c>
      <c r="C5" s="1">
        <v>15</v>
      </c>
      <c r="D5" s="1" t="str">
        <f>REPT("0", COUNTIF($A$2:$A$52, C5*10+0))&amp;REPT("1", COUNTIF($A$2:$A$52, C5*10+1))&amp;REPT("2", COUNTIF($A$2:$A$52, C5*10+2))&amp;REPT("3", COUNTIF($A$2:$A$52, C5*10+3))&amp;REPT("4", COUNTIF($A$2:$A$52, C5*10+4))&amp;REPT("5", COUNTIF($A$2:$A$52, C5*10+5))&amp;REPT("6", COUNTIF($A$2:$A$52, C5*10+6))&amp;REPT("7", COUNTIF($A$2:$A$52, C5*10+7))&amp;REPT("8", COUNTIF($A$2:$A$52, C5*10+8))&amp;REPT("9", COUNTIF($A$2:$A$52, C5*10+9))</f>
        <v>288889</v>
      </c>
    </row>
    <row r="6" spans="1:9" x14ac:dyDescent="0.25">
      <c r="A6">
        <v>158</v>
      </c>
      <c r="C6">
        <v>16</v>
      </c>
      <c r="D6" s="1" t="str">
        <f t="shared" ref="D6:D8" si="0">REPT("0", COUNTIF($A$2:$A$52, C6*10+0))&amp;REPT("1", COUNTIF($A$2:$A$52, C6*10+1))&amp;REPT("2", COUNTIF($A$2:$A$52, C6*10+2))&amp;REPT("3", COUNTIF($A$2:$A$52, C6*10+3))&amp;REPT("4", COUNTIF($A$2:$A$52, C6*10+4))&amp;REPT("5", COUNTIF($A$2:$A$52, C6*10+5))&amp;REPT("6", COUNTIF($A$2:$A$52, C6*10+6))&amp;REPT("7", COUNTIF($A$2:$A$52, C6*10+7))&amp;REPT("8", COUNTIF($A$2:$A$52, C6*10+8))&amp;REPT("9", COUNTIF($A$2:$A$52, C6*10+9))</f>
        <v>0000000122333456777899</v>
      </c>
    </row>
    <row r="7" spans="1:9" x14ac:dyDescent="0.25">
      <c r="A7">
        <v>169</v>
      </c>
      <c r="C7">
        <v>17</v>
      </c>
      <c r="D7" s="1" t="str">
        <f t="shared" si="0"/>
        <v>0000111333446778889</v>
      </c>
      <c r="G7" s="1" t="s">
        <v>40</v>
      </c>
      <c r="H7" s="1" t="s">
        <v>42</v>
      </c>
      <c r="I7" s="1" t="s">
        <v>43</v>
      </c>
    </row>
    <row r="8" spans="1:9" x14ac:dyDescent="0.25">
      <c r="A8">
        <v>162</v>
      </c>
      <c r="C8">
        <v>18</v>
      </c>
      <c r="D8" s="1" t="str">
        <f>REPT("0", COUNTIF($A$2:$A$52, C8*10+0))&amp;REPT("1", COUNTIF($A$2:$A$52, C8*10+1))&amp;REPT("2", COUNTIF($A$2:$A$52, C8*10+2))&amp;REPT("3", COUNTIF($A$2:$A$52, C8*10+3))&amp;REPT("4", COUNTIF($A$2:$A$52, C8*10+4))&amp;REPT("5", COUNTIF($A$2:$A$52, C8*10+5))&amp;REPT("6", COUNTIF($A$2:$A$52, C8*10+6))&amp;REPT("7", COUNTIF($A$2:$A$52, C8*10+7))&amp;REPT("8", COUNTIF($A$2:$A$52, C8*10+8))&amp;REPT("9", COUNTIF($A$2:$A$52, C8*10+9))</f>
        <v>0013</v>
      </c>
      <c r="G8">
        <v>149.5</v>
      </c>
      <c r="H8">
        <v>154.5</v>
      </c>
      <c r="I8" cm="1">
        <f t="array" ref="I8:I15">FREQUENCY(A2:A52,H8:H14)</f>
        <v>1</v>
      </c>
    </row>
    <row r="9" spans="1:9" x14ac:dyDescent="0.25">
      <c r="A9">
        <v>179</v>
      </c>
      <c r="G9">
        <v>154.5</v>
      </c>
      <c r="H9">
        <v>159.5</v>
      </c>
      <c r="I9">
        <v>5</v>
      </c>
    </row>
    <row r="10" spans="1:9" x14ac:dyDescent="0.25">
      <c r="A10">
        <v>183</v>
      </c>
      <c r="G10">
        <v>159.5</v>
      </c>
      <c r="H10">
        <v>164.5</v>
      </c>
      <c r="I10">
        <v>14</v>
      </c>
    </row>
    <row r="11" spans="1:9" x14ac:dyDescent="0.25">
      <c r="A11">
        <v>178</v>
      </c>
      <c r="G11">
        <v>164.5</v>
      </c>
      <c r="H11">
        <v>169.5</v>
      </c>
      <c r="I11">
        <v>8</v>
      </c>
    </row>
    <row r="12" spans="1:9" x14ac:dyDescent="0.25">
      <c r="A12">
        <v>171</v>
      </c>
      <c r="G12">
        <v>169.5</v>
      </c>
      <c r="H12">
        <v>174.5</v>
      </c>
      <c r="I12">
        <v>12</v>
      </c>
    </row>
    <row r="13" spans="1:9" x14ac:dyDescent="0.25">
      <c r="A13">
        <v>177</v>
      </c>
      <c r="G13">
        <v>174.5</v>
      </c>
      <c r="H13">
        <v>179.5</v>
      </c>
      <c r="I13">
        <v>7</v>
      </c>
    </row>
    <row r="14" spans="1:9" x14ac:dyDescent="0.25">
      <c r="A14">
        <v>163</v>
      </c>
      <c r="B14" s="1" t="s">
        <v>15</v>
      </c>
      <c r="C14" s="1" t="s">
        <v>15</v>
      </c>
      <c r="D14" s="1" t="s">
        <v>16</v>
      </c>
      <c r="E14" s="1"/>
      <c r="G14">
        <v>179.5</v>
      </c>
      <c r="H14">
        <v>184.5</v>
      </c>
      <c r="I14">
        <v>4</v>
      </c>
    </row>
    <row r="15" spans="1:9" x14ac:dyDescent="0.25">
      <c r="A15">
        <v>158</v>
      </c>
      <c r="B15" s="1" t="s">
        <v>17</v>
      </c>
      <c r="C15">
        <v>15</v>
      </c>
      <c r="D15" s="1" t="str">
        <f>REPT("0",COUNTIF($A$2:$A$52,C15*10+0))&amp;REPT("1",COUNTIF($A$2:$A$52,C15*10+1))&amp;REPT("2",COUNTIF($A$2:$A$52,C15*10+2))&amp;REPT("3",COUNTIF($A$2:$A$52,C15*10+3))&amp;REPT("4",COUNTIF($A$2:$A$52,C15*10+4))</f>
        <v>2</v>
      </c>
      <c r="I15">
        <v>0</v>
      </c>
    </row>
    <row r="16" spans="1:9" x14ac:dyDescent="0.25">
      <c r="A16">
        <v>160</v>
      </c>
      <c r="B16" s="1" t="s">
        <v>18</v>
      </c>
      <c r="C16">
        <v>15</v>
      </c>
    </row>
    <row r="17" spans="1:10" x14ac:dyDescent="0.25">
      <c r="A17">
        <v>160</v>
      </c>
      <c r="B17" s="1" t="s">
        <v>19</v>
      </c>
      <c r="C17">
        <v>16</v>
      </c>
      <c r="D17" s="1" t="str">
        <f>REPT("0",COUNTIF($A$2:$A$52,C17*10+0))&amp;REPT("1",COUNTIF($A$2:$A$52,C17*10+1))&amp;REPT("2",COUNTIF($A$2:$A$52,C17*10+2))&amp;REPT("3",COUNTIF($A$2:$A$52,C17*10+3))&amp;REPT("4",COUNTIF($A$2:$A$52,C17*10+4))</f>
        <v>00000001223334</v>
      </c>
    </row>
    <row r="18" spans="1:10" x14ac:dyDescent="0.25">
      <c r="A18">
        <v>158</v>
      </c>
      <c r="B18" s="1" t="s">
        <v>20</v>
      </c>
      <c r="C18">
        <v>16</v>
      </c>
    </row>
    <row r="19" spans="1:10" x14ac:dyDescent="0.25">
      <c r="A19">
        <v>174</v>
      </c>
      <c r="B19" s="1" t="s">
        <v>19</v>
      </c>
      <c r="C19">
        <v>17</v>
      </c>
      <c r="D19" s="1" t="str">
        <f>REPT("0",COUNTIF($A$2:$A$52,C19*10+0))&amp;REPT("1",COUNTIF($A$2:$A$52,C19*10+1))&amp;REPT("2",COUNTIF($A$2:$A$52,C19*10+2))&amp;REPT("3",COUNTIF($A$2:$A$52,C19*10+3))&amp;REPT("4",COUNTIF($A$2:$A$52,C19*10+4))</f>
        <v>000011133344</v>
      </c>
    </row>
    <row r="20" spans="1:10" ht="15" thickBot="1" x14ac:dyDescent="0.3">
      <c r="A20">
        <v>160</v>
      </c>
      <c r="B20" s="1" t="s">
        <v>20</v>
      </c>
      <c r="C20">
        <v>17</v>
      </c>
    </row>
    <row r="21" spans="1:10" x14ac:dyDescent="0.25">
      <c r="A21">
        <v>163</v>
      </c>
      <c r="B21" s="1" t="s">
        <v>21</v>
      </c>
      <c r="C21">
        <v>18</v>
      </c>
      <c r="D21" s="1" t="str">
        <f>REPT("0",COUNTIF($A$2:$A$52,C21*10+0))&amp;REPT("1",COUNTIF($A$2:$A$52,C21*10+1))&amp;REPT("2",COUNTIF($A$2:$A$52,C21*10+2))&amp;REPT("3",COUNTIF($A$2:$A$52,C21*10+3))&amp;REPT("4",COUNTIF($A$2:$A$52,C21*10+4))</f>
        <v>0013</v>
      </c>
      <c r="I21" s="12" t="s">
        <v>41</v>
      </c>
      <c r="J21" s="12" t="s">
        <v>44</v>
      </c>
    </row>
    <row r="22" spans="1:10" x14ac:dyDescent="0.25">
      <c r="A22">
        <v>167</v>
      </c>
      <c r="B22" s="1" t="s">
        <v>22</v>
      </c>
      <c r="C22">
        <v>18</v>
      </c>
      <c r="I22" s="9">
        <v>154.5</v>
      </c>
      <c r="J22" s="10">
        <v>1</v>
      </c>
    </row>
    <row r="23" spans="1:10" x14ac:dyDescent="0.25">
      <c r="A23">
        <v>165</v>
      </c>
      <c r="I23" s="9">
        <v>159.5</v>
      </c>
      <c r="J23" s="10">
        <v>5</v>
      </c>
    </row>
    <row r="24" spans="1:10" x14ac:dyDescent="0.25">
      <c r="A24">
        <v>163</v>
      </c>
      <c r="I24" s="9">
        <v>164.5</v>
      </c>
      <c r="J24" s="10">
        <v>14</v>
      </c>
    </row>
    <row r="25" spans="1:10" x14ac:dyDescent="0.25">
      <c r="A25">
        <v>173</v>
      </c>
      <c r="I25" s="9">
        <v>169.5</v>
      </c>
      <c r="J25" s="10">
        <v>8</v>
      </c>
    </row>
    <row r="26" spans="1:10" x14ac:dyDescent="0.25">
      <c r="A26">
        <v>178</v>
      </c>
      <c r="I26" s="9">
        <v>174.5</v>
      </c>
      <c r="J26" s="10">
        <v>12</v>
      </c>
    </row>
    <row r="27" spans="1:10" x14ac:dyDescent="0.25">
      <c r="A27">
        <v>170</v>
      </c>
      <c r="I27" s="9">
        <v>179.5</v>
      </c>
      <c r="J27" s="10">
        <v>7</v>
      </c>
    </row>
    <row r="28" spans="1:10" x14ac:dyDescent="0.25">
      <c r="A28">
        <v>167</v>
      </c>
      <c r="I28" s="9">
        <v>184.5</v>
      </c>
      <c r="J28" s="10">
        <v>4</v>
      </c>
    </row>
    <row r="29" spans="1:10" ht="15" thickBot="1" x14ac:dyDescent="0.3">
      <c r="A29">
        <v>177</v>
      </c>
      <c r="I29" s="11" t="s">
        <v>35</v>
      </c>
      <c r="J29" s="11">
        <v>0</v>
      </c>
    </row>
    <row r="30" spans="1:10" x14ac:dyDescent="0.25">
      <c r="A30">
        <v>176</v>
      </c>
    </row>
    <row r="31" spans="1:10" x14ac:dyDescent="0.25">
      <c r="A31">
        <v>170</v>
      </c>
    </row>
    <row r="32" spans="1:10" x14ac:dyDescent="0.25">
      <c r="A32">
        <v>152</v>
      </c>
    </row>
    <row r="33" spans="1:1" x14ac:dyDescent="0.25">
      <c r="A33">
        <v>158</v>
      </c>
    </row>
    <row r="34" spans="1:1" x14ac:dyDescent="0.25">
      <c r="A34">
        <v>160</v>
      </c>
    </row>
    <row r="35" spans="1:1" x14ac:dyDescent="0.25">
      <c r="A35">
        <v>160</v>
      </c>
    </row>
    <row r="36" spans="1:1" x14ac:dyDescent="0.25">
      <c r="A36">
        <v>159</v>
      </c>
    </row>
    <row r="37" spans="1:1" x14ac:dyDescent="0.25">
      <c r="A37">
        <v>180</v>
      </c>
    </row>
    <row r="38" spans="1:1" x14ac:dyDescent="0.25">
      <c r="A38">
        <v>169</v>
      </c>
    </row>
    <row r="39" spans="1:1" x14ac:dyDescent="0.25">
      <c r="A39">
        <v>162</v>
      </c>
    </row>
    <row r="40" spans="1:1" x14ac:dyDescent="0.25">
      <c r="A40">
        <v>178</v>
      </c>
    </row>
    <row r="41" spans="1:1" x14ac:dyDescent="0.25">
      <c r="A41">
        <v>173</v>
      </c>
    </row>
    <row r="42" spans="1:1" x14ac:dyDescent="0.25">
      <c r="A42">
        <v>173</v>
      </c>
    </row>
    <row r="43" spans="1:1" x14ac:dyDescent="0.25">
      <c r="A43">
        <v>171</v>
      </c>
    </row>
    <row r="44" spans="1:1" x14ac:dyDescent="0.25">
      <c r="A44">
        <v>171</v>
      </c>
    </row>
    <row r="45" spans="1:1" x14ac:dyDescent="0.25">
      <c r="A45">
        <v>170</v>
      </c>
    </row>
    <row r="46" spans="1:1" x14ac:dyDescent="0.25">
      <c r="A46">
        <v>160</v>
      </c>
    </row>
    <row r="47" spans="1:1" x14ac:dyDescent="0.25">
      <c r="A47">
        <v>167</v>
      </c>
    </row>
    <row r="48" spans="1:1" x14ac:dyDescent="0.25">
      <c r="A48">
        <v>168</v>
      </c>
    </row>
    <row r="49" spans="1:1" x14ac:dyDescent="0.25">
      <c r="A49">
        <v>166</v>
      </c>
    </row>
    <row r="50" spans="1:1" x14ac:dyDescent="0.25">
      <c r="A50">
        <v>164</v>
      </c>
    </row>
    <row r="51" spans="1:1" x14ac:dyDescent="0.25">
      <c r="A51">
        <v>174</v>
      </c>
    </row>
    <row r="52" spans="1:1" x14ac:dyDescent="0.25">
      <c r="A52">
        <v>180</v>
      </c>
    </row>
  </sheetData>
  <sortState xmlns:xlrd2="http://schemas.microsoft.com/office/spreadsheetml/2017/richdata2" ref="I22:I28">
    <sortCondition ref="I22"/>
  </sortState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한성대학교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엄종석</dc:creator>
  <cp:lastModifiedBy>이지형</cp:lastModifiedBy>
  <dcterms:created xsi:type="dcterms:W3CDTF">2005-03-05T11:25:38Z</dcterms:created>
  <dcterms:modified xsi:type="dcterms:W3CDTF">2026-03-17T06:03:01Z</dcterms:modified>
</cp:coreProperties>
</file>