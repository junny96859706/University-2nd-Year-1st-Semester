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바탕 화면\University-2nd-Year-1st-Semester\확률 및 통계\"/>
    </mc:Choice>
  </mc:AlternateContent>
  <xr:revisionPtr revIDLastSave="0" documentId="8_{5AE74DCB-88FB-47C3-A9A3-6C12BBFED0E3}" xr6:coauthVersionLast="47" xr6:coauthVersionMax="47" xr10:uidLastSave="{00000000-0000-0000-0000-000000000000}"/>
  <bookViews>
    <workbookView xWindow="-120" yWindow="-120" windowWidth="38640" windowHeight="21120" xr2:uid="{77E42121-09D8-4083-8068-EEFB5ABF1B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25" i="1" l="1"/>
  <c r="S24" i="1"/>
  <c r="V9" i="1"/>
  <c r="V8" i="1"/>
  <c r="S23" i="1"/>
  <c r="S22" i="1"/>
  <c r="D32" i="1" l="1"/>
  <c r="D33" i="1" s="1"/>
  <c r="D31" i="1"/>
</calcChain>
</file>

<file path=xl/sharedStrings.xml><?xml version="1.0" encoding="utf-8"?>
<sst xmlns="http://schemas.openxmlformats.org/spreadsheetml/2006/main" count="67" uniqueCount="64">
  <si>
    <t>1.다음 경우 모평균에 대한 귀무가설과 대립가설을 쓰시오</t>
    <phoneticPr fontId="1" type="noConversion"/>
  </si>
  <si>
    <t>(1)새로운 수술에 따르는 집중치료에 필요한 평균시간이 13시간보다 적다.</t>
    <phoneticPr fontId="1" type="noConversion"/>
  </si>
  <si>
    <t>(2)유명한 아이스크림의 지방 함유량이 표시에 적힌 2%보다 많다.</t>
    <phoneticPr fontId="1" type="noConversion"/>
  </si>
  <si>
    <t>(3)모터의 평균 무게는 제조회사의 목표피인 6kg과 차이가 있다.</t>
    <phoneticPr fontId="1" type="noConversion"/>
  </si>
  <si>
    <t>=&gt;귀무가설(H0): mu=13 (기존의 방식에 의한 결론)</t>
    <phoneticPr fontId="1" type="noConversion"/>
  </si>
  <si>
    <t>=&gt;대립가설(H1): mu&lt;13 (표본을 통해 입증하고자 하는 가정)</t>
    <phoneticPr fontId="1" type="noConversion"/>
  </si>
  <si>
    <t xml:space="preserve">=&gt;귀무가설(H0): mu = 2% </t>
    <phoneticPr fontId="1" type="noConversion"/>
  </si>
  <si>
    <t>=&gt;대립가설(H1): mu &gt; 2% (2%보다 많다고 주장하기 때문)</t>
    <phoneticPr fontId="1" type="noConversion"/>
  </si>
  <si>
    <t>=&gt;귀무가설(H0): mu = 6kg (차이가 없는 평범한 상태가 귀무가설이 된다 - 양측검정)</t>
    <phoneticPr fontId="1" type="noConversion"/>
  </si>
  <si>
    <t>=&gt;대립가설(H1): mu != 6kg</t>
    <phoneticPr fontId="1" type="noConversion"/>
  </si>
  <si>
    <t>2.H0 : mu = 75 대 H1 : mu &gt; 75를 검정하는 문제에서 표본으로부터 계산된 통계량의 값이 다음과 같이 주어졌다.</t>
    <phoneticPr fontId="1" type="noConversion"/>
  </si>
  <si>
    <t>n = 56, xbar = 77.04, s = 6.80</t>
    <phoneticPr fontId="1" type="noConversion"/>
  </si>
  <si>
    <t>가설</t>
    <phoneticPr fontId="1" type="noConversion"/>
  </si>
  <si>
    <t>H0</t>
    <phoneticPr fontId="1" type="noConversion"/>
  </si>
  <si>
    <t>mu=</t>
    <phoneticPr fontId="1" type="noConversion"/>
  </si>
  <si>
    <t>H1</t>
    <phoneticPr fontId="1" type="noConversion"/>
  </si>
  <si>
    <t>mu&gt;</t>
    <phoneticPr fontId="1" type="noConversion"/>
  </si>
  <si>
    <t>n</t>
    <phoneticPr fontId="1" type="noConversion"/>
  </si>
  <si>
    <t>Xbar</t>
    <phoneticPr fontId="1" type="noConversion"/>
  </si>
  <si>
    <t>s</t>
    <phoneticPr fontId="1" type="noConversion"/>
  </si>
  <si>
    <t>alpha</t>
    <phoneticPr fontId="1" type="noConversion"/>
  </si>
  <si>
    <t>Z0.05</t>
    <phoneticPr fontId="1" type="noConversion"/>
  </si>
  <si>
    <t>Z</t>
    <phoneticPr fontId="1" type="noConversion"/>
  </si>
  <si>
    <t>p-value</t>
    <phoneticPr fontId="1" type="noConversion"/>
  </si>
  <si>
    <t>(1)검정통계량을 밝히고, 1종오류가 0.05일때 기각역을 찾아라.</t>
    <phoneticPr fontId="1" type="noConversion"/>
  </si>
  <si>
    <t xml:space="preserve">=&gt;표본의 크기가 충분히 크므로(n = 56 &gt; 30), 중심극한정리에 의해 표준정규분포를 따르는 Z-통계량을 사용한다. </t>
    <phoneticPr fontId="1" type="noConversion"/>
  </si>
  <si>
    <t>=&gt;기각역: Z &gt; 1.6449</t>
    <phoneticPr fontId="1" type="noConversion"/>
  </si>
  <si>
    <t>(2):검정통계량의 관측값을 계산하고, alpha = 0.05에서 결론을 내려라.</t>
    <phoneticPr fontId="1" type="noConversion"/>
  </si>
  <si>
    <t>=&gt;검정통계량의 관측값 z = 2.245</t>
    <phoneticPr fontId="1" type="noConversion"/>
  </si>
  <si>
    <t>(3):P값을 구하고 결과를 설명하라.</t>
    <phoneticPr fontId="1" type="noConversion"/>
  </si>
  <si>
    <t>=&gt;P-value = 0.0124로 유의수준보다 작으므로 귀무가설을 기각하며, 표본데이터는 모평균이 75보다 크다고 결론을 내릴수 있다.</t>
    <phoneticPr fontId="1" type="noConversion"/>
  </si>
  <si>
    <t>3.예제1에 주어진 중학교 1학년 남학생의 키 자료로부터 엑셀을 사용하여 평균키에 대하여 추론하라.</t>
    <phoneticPr fontId="1" type="noConversion"/>
  </si>
  <si>
    <t>=&gt;결론:검정통계량의 관측값 2.245이 기각역에 속하므로 유의수준에서 귀무가설을 기각한다. 즉, 모평균이 75보다 크다고 할 수 있다.</t>
    <phoneticPr fontId="1" type="noConversion"/>
  </si>
  <si>
    <t>키</t>
  </si>
  <si>
    <t>평균</t>
  </si>
  <si>
    <t>표준 오차</t>
  </si>
  <si>
    <t>중앙값</t>
  </si>
  <si>
    <t>최빈값</t>
  </si>
  <si>
    <t>표준 편차</t>
  </si>
  <si>
    <t>분산</t>
  </si>
  <si>
    <t>첨도</t>
  </si>
  <si>
    <t>왜도</t>
  </si>
  <si>
    <t>범위</t>
  </si>
  <si>
    <t>최소값</t>
  </si>
  <si>
    <t>최대값</t>
  </si>
  <si>
    <t>합</t>
  </si>
  <si>
    <t>관측수</t>
  </si>
  <si>
    <t>xbar</t>
    <phoneticPr fontId="1" type="noConversion"/>
  </si>
  <si>
    <t>s/sqrt(n)</t>
    <phoneticPr fontId="1" type="noConversion"/>
  </si>
  <si>
    <t>s^2</t>
    <phoneticPr fontId="1" type="noConversion"/>
  </si>
  <si>
    <t>(2)H0 : mu = 159 대 H1 : mu != 159에 대해 alpha = 0.03으로 검정하라.</t>
    <phoneticPr fontId="1" type="noConversion"/>
  </si>
  <si>
    <t>(1)평균키에 대한 97% 신뢰구간을 찾아라.</t>
    <phoneticPr fontId="1" type="noConversion"/>
  </si>
  <si>
    <t>z0.015</t>
    <phoneticPr fontId="1" type="noConversion"/>
  </si>
  <si>
    <t>오차한계</t>
    <phoneticPr fontId="1" type="noConversion"/>
  </si>
  <si>
    <t>신뢰구간하한:</t>
    <phoneticPr fontId="1" type="noConversion"/>
  </si>
  <si>
    <t>신뢰구간상한:</t>
    <phoneticPr fontId="1" type="noConversion"/>
  </si>
  <si>
    <t>=&gt;정답: 97% 신뢰구간은 [157.83cm,162.57cm]</t>
    <phoneticPr fontId="1" type="noConversion"/>
  </si>
  <si>
    <t>z</t>
    <phoneticPr fontId="1" type="noConversion"/>
  </si>
  <si>
    <t>mu</t>
    <phoneticPr fontId="1" type="noConversion"/>
  </si>
  <si>
    <t>P-value</t>
    <phoneticPr fontId="1" type="noConversion"/>
  </si>
  <si>
    <t>=&gt;결론: p값은 0.27이며, 이는 유의수준보다 휠씬 크다. 즉,귀무가설을 기각할수 없다.</t>
    <phoneticPr fontId="1" type="noConversion"/>
  </si>
  <si>
    <t>또한, (1)번에서 구한 신뢰구간안에 귀무가설의 모평균인 159가 여전히 포함되어 있다.</t>
    <phoneticPr fontId="1" type="noConversion"/>
  </si>
  <si>
    <t>2371214이지형</t>
    <phoneticPr fontId="1" type="noConversion"/>
  </si>
  <si>
    <t>11주차 확통 과제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</si>
</sst>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b/>
      <sz val="16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0" xfId="0" quotePrefix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0" borderId="0" xfId="0" applyFont="1" applyBorder="1">
      <alignment vertical="center"/>
    </xf>
    <xf numFmtId="0" fontId="0" fillId="0" borderId="0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0" xfId="0" applyFont="1" applyFill="1" applyBorder="1" applyAlignment="1">
      <alignment horizontal="centerContinuous" vertical="center"/>
    </xf>
    <xf numFmtId="0" fontId="3" fillId="0" borderId="1" xfId="0" applyFont="1" applyBorder="1">
      <alignment vertical="center"/>
    </xf>
    <xf numFmtId="0" fontId="3" fillId="0" borderId="6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A0E0E-3F97-4A46-9919-BB07D6A7E6FD}">
  <dimension ref="A3:AB41"/>
  <sheetViews>
    <sheetView tabSelected="1" topLeftCell="B1" workbookViewId="0">
      <selection activeCell="T39" sqref="T39"/>
    </sheetView>
  </sheetViews>
  <sheetFormatPr defaultRowHeight="16.5" x14ac:dyDescent="0.3"/>
  <cols>
    <col min="21" max="21" width="12.875" customWidth="1"/>
  </cols>
  <sheetData>
    <row r="3" spans="1:28" x14ac:dyDescent="0.3">
      <c r="A3" s="1"/>
      <c r="B3" s="2"/>
      <c r="C3" s="2"/>
      <c r="D3" s="2"/>
      <c r="E3" s="2"/>
      <c r="F3" s="2"/>
      <c r="G3" s="2"/>
      <c r="H3" s="2"/>
      <c r="I3" s="2"/>
      <c r="J3" s="3"/>
    </row>
    <row r="4" spans="1:28" x14ac:dyDescent="0.3">
      <c r="A4" s="4"/>
      <c r="B4" s="5"/>
      <c r="C4" s="5"/>
      <c r="D4" s="5"/>
      <c r="E4" s="5"/>
      <c r="F4" s="5"/>
      <c r="G4" s="5"/>
      <c r="H4" s="5"/>
      <c r="I4" s="5"/>
      <c r="J4" s="6"/>
      <c r="P4" s="1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3"/>
    </row>
    <row r="5" spans="1:28" ht="26.25" x14ac:dyDescent="0.3">
      <c r="A5" s="4"/>
      <c r="B5" s="5" t="s">
        <v>0</v>
      </c>
      <c r="C5" s="5"/>
      <c r="D5" s="5"/>
      <c r="E5" s="5"/>
      <c r="F5" s="5"/>
      <c r="G5" s="5"/>
      <c r="H5" s="5"/>
      <c r="I5" s="5"/>
      <c r="J5" s="6"/>
      <c r="L5" s="15" t="s">
        <v>62</v>
      </c>
      <c r="M5" s="2"/>
      <c r="N5" s="3"/>
      <c r="P5" s="4"/>
      <c r="Q5" s="5" t="s">
        <v>31</v>
      </c>
      <c r="R5" s="5"/>
      <c r="S5" s="5"/>
      <c r="T5" s="5"/>
      <c r="U5" s="5"/>
      <c r="V5" s="5"/>
      <c r="W5" s="5"/>
      <c r="X5" s="5"/>
      <c r="Y5" s="5"/>
      <c r="Z5" s="5"/>
      <c r="AA5" s="5"/>
      <c r="AB5" s="6"/>
    </row>
    <row r="6" spans="1:28" ht="27" thickBot="1" x14ac:dyDescent="0.35">
      <c r="A6" s="4"/>
      <c r="B6" s="5" t="s">
        <v>1</v>
      </c>
      <c r="C6" s="5"/>
      <c r="D6" s="5"/>
      <c r="E6" s="5"/>
      <c r="F6" s="5"/>
      <c r="G6" s="5"/>
      <c r="H6" s="5"/>
      <c r="I6" s="5"/>
      <c r="J6" s="6"/>
      <c r="L6" s="16" t="s">
        <v>63</v>
      </c>
      <c r="M6" s="9"/>
      <c r="N6" s="10"/>
      <c r="P6" s="4" t="s">
        <v>33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6"/>
    </row>
    <row r="7" spans="1:28" x14ac:dyDescent="0.3">
      <c r="A7" s="4"/>
      <c r="B7" s="7" t="s">
        <v>4</v>
      </c>
      <c r="C7" s="5"/>
      <c r="D7" s="5"/>
      <c r="E7" s="5"/>
      <c r="F7" s="5"/>
      <c r="G7" s="5"/>
      <c r="H7" s="5"/>
      <c r="I7" s="5"/>
      <c r="J7" s="6"/>
      <c r="P7" s="4">
        <v>163</v>
      </c>
      <c r="Q7" s="5"/>
      <c r="R7" s="14" t="s">
        <v>33</v>
      </c>
      <c r="S7" s="14"/>
      <c r="T7" s="5"/>
      <c r="U7" s="5" t="s">
        <v>51</v>
      </c>
      <c r="V7" s="5"/>
      <c r="W7" s="5"/>
      <c r="X7" s="5"/>
      <c r="Y7" s="5"/>
      <c r="Z7" s="5"/>
      <c r="AA7" s="5"/>
      <c r="AB7" s="6"/>
    </row>
    <row r="8" spans="1:28" x14ac:dyDescent="0.3">
      <c r="A8" s="4"/>
      <c r="B8" s="7" t="s">
        <v>5</v>
      </c>
      <c r="C8" s="5"/>
      <c r="D8" s="5"/>
      <c r="E8" s="5"/>
      <c r="F8" s="5"/>
      <c r="G8" s="5"/>
      <c r="H8" s="5"/>
      <c r="I8" s="5"/>
      <c r="J8" s="6"/>
      <c r="P8" s="4">
        <v>161</v>
      </c>
      <c r="Q8" s="5"/>
      <c r="R8" s="12" t="s">
        <v>58</v>
      </c>
      <c r="S8" s="12">
        <v>159</v>
      </c>
      <c r="T8" s="5"/>
      <c r="U8" s="5" t="s">
        <v>54</v>
      </c>
      <c r="V8" s="5">
        <f>S9-S23</f>
        <v>157.82643113401761</v>
      </c>
      <c r="W8" s="5"/>
      <c r="X8" s="5"/>
      <c r="Y8" s="5"/>
      <c r="Z8" s="5"/>
      <c r="AA8" s="5"/>
      <c r="AB8" s="6"/>
    </row>
    <row r="9" spans="1:28" x14ac:dyDescent="0.3">
      <c r="A9" s="4"/>
      <c r="B9" s="5"/>
      <c r="C9" s="5"/>
      <c r="D9" s="5"/>
      <c r="E9" s="5"/>
      <c r="F9" s="5"/>
      <c r="G9" s="5"/>
      <c r="H9" s="5"/>
      <c r="I9" s="5"/>
      <c r="J9" s="6"/>
      <c r="P9" s="4">
        <v>168</v>
      </c>
      <c r="Q9" s="5"/>
      <c r="R9" s="12" t="s">
        <v>34</v>
      </c>
      <c r="S9" s="12">
        <v>160.19999999999999</v>
      </c>
      <c r="T9" s="5" t="s">
        <v>47</v>
      </c>
      <c r="U9" s="5" t="s">
        <v>55</v>
      </c>
      <c r="V9" s="5">
        <f>S9+S23</f>
        <v>162.57356886598237</v>
      </c>
      <c r="W9" s="5"/>
      <c r="X9" s="5"/>
      <c r="Y9" s="5"/>
      <c r="Z9" s="5"/>
      <c r="AA9" s="5"/>
      <c r="AB9" s="6"/>
    </row>
    <row r="10" spans="1:28" x14ac:dyDescent="0.3">
      <c r="A10" s="4"/>
      <c r="B10" s="5" t="s">
        <v>2</v>
      </c>
      <c r="C10" s="5"/>
      <c r="D10" s="5"/>
      <c r="E10" s="5"/>
      <c r="F10" s="5"/>
      <c r="G10" s="5"/>
      <c r="H10" s="5"/>
      <c r="I10" s="5"/>
      <c r="J10" s="6"/>
      <c r="P10" s="4">
        <v>161</v>
      </c>
      <c r="Q10" s="5"/>
      <c r="R10" s="12" t="s">
        <v>35</v>
      </c>
      <c r="S10" s="12">
        <v>1.0937649834770078</v>
      </c>
      <c r="T10" s="5" t="s">
        <v>48</v>
      </c>
      <c r="U10" s="7" t="s">
        <v>56</v>
      </c>
      <c r="V10" s="5"/>
      <c r="W10" s="5"/>
      <c r="X10" s="5"/>
      <c r="Y10" s="5"/>
      <c r="Z10" s="5"/>
      <c r="AA10" s="5"/>
      <c r="AB10" s="6"/>
    </row>
    <row r="11" spans="1:28" x14ac:dyDescent="0.3">
      <c r="A11" s="4"/>
      <c r="B11" s="7" t="s">
        <v>6</v>
      </c>
      <c r="C11" s="5"/>
      <c r="D11" s="5"/>
      <c r="E11" s="5"/>
      <c r="F11" s="5"/>
      <c r="G11" s="5"/>
      <c r="H11" s="5"/>
      <c r="I11" s="5"/>
      <c r="J11" s="6"/>
      <c r="P11" s="4">
        <v>157</v>
      </c>
      <c r="Q11" s="5"/>
      <c r="R11" s="12" t="s">
        <v>36</v>
      </c>
      <c r="S11" s="12">
        <v>161</v>
      </c>
      <c r="T11" s="5"/>
      <c r="U11" s="5"/>
      <c r="V11" s="5"/>
      <c r="W11" s="5"/>
      <c r="X11" s="5"/>
      <c r="Y11" s="5"/>
      <c r="Z11" s="5"/>
      <c r="AA11" s="5"/>
      <c r="AB11" s="6"/>
    </row>
    <row r="12" spans="1:28" x14ac:dyDescent="0.3">
      <c r="A12" s="4"/>
      <c r="B12" s="7" t="s">
        <v>7</v>
      </c>
      <c r="C12" s="5"/>
      <c r="D12" s="5"/>
      <c r="E12" s="5"/>
      <c r="F12" s="5"/>
      <c r="G12" s="5"/>
      <c r="H12" s="5"/>
      <c r="I12" s="5"/>
      <c r="J12" s="6"/>
      <c r="P12" s="4">
        <v>162</v>
      </c>
      <c r="Q12" s="5"/>
      <c r="R12" s="12" t="s">
        <v>37</v>
      </c>
      <c r="S12" s="12">
        <v>168</v>
      </c>
      <c r="T12" s="5"/>
      <c r="U12" s="5"/>
      <c r="V12" s="5"/>
      <c r="W12" s="5"/>
      <c r="X12" s="5"/>
      <c r="Y12" s="5"/>
      <c r="Z12" s="5"/>
      <c r="AA12" s="5"/>
      <c r="AB12" s="6"/>
    </row>
    <row r="13" spans="1:28" x14ac:dyDescent="0.3">
      <c r="A13" s="4"/>
      <c r="B13" s="5"/>
      <c r="C13" s="5"/>
      <c r="D13" s="5"/>
      <c r="E13" s="5"/>
      <c r="F13" s="5"/>
      <c r="G13" s="5"/>
      <c r="H13" s="5"/>
      <c r="I13" s="5"/>
      <c r="J13" s="6"/>
      <c r="P13" s="4">
        <v>153</v>
      </c>
      <c r="Q13" s="5"/>
      <c r="R13" s="12" t="s">
        <v>38</v>
      </c>
      <c r="S13" s="12">
        <v>5.9907975405962244</v>
      </c>
      <c r="T13" s="5" t="s">
        <v>19</v>
      </c>
      <c r="U13" s="5" t="s">
        <v>50</v>
      </c>
      <c r="V13" s="5"/>
      <c r="W13" s="5"/>
      <c r="X13" s="5"/>
      <c r="Y13" s="5"/>
      <c r="Z13" s="5"/>
      <c r="AA13" s="5"/>
      <c r="AB13" s="6"/>
    </row>
    <row r="14" spans="1:28" x14ac:dyDescent="0.3">
      <c r="A14" s="4"/>
      <c r="B14" s="5" t="s">
        <v>3</v>
      </c>
      <c r="C14" s="5"/>
      <c r="D14" s="5"/>
      <c r="E14" s="5"/>
      <c r="F14" s="5"/>
      <c r="G14" s="5"/>
      <c r="H14" s="5"/>
      <c r="I14" s="5"/>
      <c r="J14" s="6"/>
      <c r="P14" s="4">
        <v>159</v>
      </c>
      <c r="Q14" s="5"/>
      <c r="R14" s="12" t="s">
        <v>39</v>
      </c>
      <c r="S14" s="12">
        <v>35.889655172413775</v>
      </c>
      <c r="T14" s="5" t="s">
        <v>49</v>
      </c>
      <c r="U14" s="7" t="s">
        <v>60</v>
      </c>
      <c r="V14" s="5"/>
      <c r="W14" s="5"/>
      <c r="X14" s="5"/>
      <c r="Y14" s="5"/>
      <c r="Z14" s="5"/>
      <c r="AA14" s="5"/>
      <c r="AB14" s="6"/>
    </row>
    <row r="15" spans="1:28" x14ac:dyDescent="0.3">
      <c r="A15" s="4"/>
      <c r="B15" s="7" t="s">
        <v>8</v>
      </c>
      <c r="C15" s="5"/>
      <c r="D15" s="5"/>
      <c r="E15" s="5"/>
      <c r="F15" s="5"/>
      <c r="G15" s="5"/>
      <c r="H15" s="5"/>
      <c r="I15" s="5"/>
      <c r="J15" s="6"/>
      <c r="P15" s="4">
        <v>164</v>
      </c>
      <c r="Q15" s="5"/>
      <c r="R15" s="12" t="s">
        <v>40</v>
      </c>
      <c r="S15" s="12">
        <v>-1.0405127238989724</v>
      </c>
      <c r="T15" s="5"/>
      <c r="U15" s="5" t="s">
        <v>61</v>
      </c>
      <c r="V15" s="5"/>
      <c r="W15" s="5"/>
      <c r="X15" s="5"/>
      <c r="Y15" s="5"/>
      <c r="Z15" s="5"/>
      <c r="AA15" s="5"/>
      <c r="AB15" s="6"/>
    </row>
    <row r="16" spans="1:28" x14ac:dyDescent="0.3">
      <c r="A16" s="4"/>
      <c r="B16" s="7" t="s">
        <v>9</v>
      </c>
      <c r="C16" s="5"/>
      <c r="D16" s="5"/>
      <c r="E16" s="5"/>
      <c r="F16" s="5"/>
      <c r="G16" s="5"/>
      <c r="H16" s="5"/>
      <c r="I16" s="5"/>
      <c r="J16" s="6"/>
      <c r="P16" s="4">
        <v>170</v>
      </c>
      <c r="Q16" s="5"/>
      <c r="R16" s="12" t="s">
        <v>41</v>
      </c>
      <c r="S16" s="12">
        <v>-0.1877673984186253</v>
      </c>
      <c r="T16" s="5"/>
      <c r="U16" s="5"/>
      <c r="V16" s="5"/>
      <c r="W16" s="5"/>
      <c r="X16" s="5"/>
      <c r="Y16" s="5"/>
      <c r="Z16" s="5"/>
      <c r="AA16" s="5"/>
      <c r="AB16" s="6"/>
    </row>
    <row r="17" spans="1:28" x14ac:dyDescent="0.3">
      <c r="A17" s="8"/>
      <c r="B17" s="9"/>
      <c r="C17" s="9"/>
      <c r="D17" s="9"/>
      <c r="E17" s="9"/>
      <c r="F17" s="9"/>
      <c r="G17" s="9"/>
      <c r="H17" s="9"/>
      <c r="I17" s="9"/>
      <c r="J17" s="10"/>
      <c r="P17" s="4">
        <v>152</v>
      </c>
      <c r="Q17" s="5"/>
      <c r="R17" s="12" t="s">
        <v>42</v>
      </c>
      <c r="S17" s="12">
        <v>20</v>
      </c>
      <c r="T17" s="5"/>
      <c r="U17" s="5"/>
      <c r="V17" s="5"/>
      <c r="W17" s="5"/>
      <c r="X17" s="5"/>
      <c r="Y17" s="5"/>
      <c r="Z17" s="5"/>
      <c r="AA17" s="5"/>
      <c r="AB17" s="6"/>
    </row>
    <row r="18" spans="1:28" x14ac:dyDescent="0.3">
      <c r="P18" s="4">
        <v>160</v>
      </c>
      <c r="Q18" s="5"/>
      <c r="R18" s="12" t="s">
        <v>43</v>
      </c>
      <c r="S18" s="12">
        <v>150</v>
      </c>
      <c r="T18" s="5"/>
      <c r="U18" s="5"/>
      <c r="V18" s="5"/>
      <c r="W18" s="5"/>
      <c r="X18" s="5"/>
      <c r="Y18" s="5"/>
      <c r="Z18" s="5"/>
      <c r="AA18" s="5"/>
      <c r="AB18" s="6"/>
    </row>
    <row r="19" spans="1:28" x14ac:dyDescent="0.3">
      <c r="A19" s="1"/>
      <c r="B19" s="2" t="s">
        <v>10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3"/>
      <c r="O19" s="5"/>
      <c r="P19" s="4">
        <v>157</v>
      </c>
      <c r="Q19" s="5"/>
      <c r="R19" s="12" t="s">
        <v>44</v>
      </c>
      <c r="S19" s="12">
        <v>170</v>
      </c>
      <c r="T19" s="5"/>
      <c r="U19" s="5"/>
      <c r="V19" s="5"/>
      <c r="W19" s="5"/>
      <c r="X19" s="5"/>
      <c r="Y19" s="5"/>
      <c r="Z19" s="5"/>
      <c r="AA19" s="5"/>
      <c r="AB19" s="6"/>
    </row>
    <row r="20" spans="1:28" x14ac:dyDescent="0.3">
      <c r="A20" s="4"/>
      <c r="B20" s="11" t="s">
        <v>11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6"/>
      <c r="O20" s="5"/>
      <c r="P20" s="4">
        <v>168</v>
      </c>
      <c r="Q20" s="5"/>
      <c r="R20" s="12" t="s">
        <v>45</v>
      </c>
      <c r="S20" s="12">
        <v>4806</v>
      </c>
      <c r="T20" s="5"/>
      <c r="U20" s="5"/>
      <c r="V20" s="5"/>
      <c r="W20" s="5"/>
      <c r="X20" s="5"/>
      <c r="Y20" s="5"/>
      <c r="Z20" s="5"/>
      <c r="AA20" s="5"/>
      <c r="AB20" s="6"/>
    </row>
    <row r="21" spans="1:28" ht="17.25" thickBot="1" x14ac:dyDescent="0.35">
      <c r="A21" s="4"/>
      <c r="B21" s="5" t="s">
        <v>24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6"/>
      <c r="O21" s="5"/>
      <c r="P21" s="4">
        <v>150</v>
      </c>
      <c r="Q21" s="5"/>
      <c r="R21" s="13" t="s">
        <v>46</v>
      </c>
      <c r="S21" s="13">
        <v>30</v>
      </c>
      <c r="T21" s="5" t="s">
        <v>17</v>
      </c>
      <c r="U21" s="5"/>
      <c r="V21" s="5"/>
      <c r="W21" s="5"/>
      <c r="X21" s="5"/>
      <c r="Y21" s="5"/>
      <c r="Z21" s="5"/>
      <c r="AA21" s="5"/>
      <c r="AB21" s="6"/>
    </row>
    <row r="22" spans="1:28" x14ac:dyDescent="0.3">
      <c r="A22" s="4"/>
      <c r="B22" s="7" t="s">
        <v>25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6"/>
      <c r="O22" s="5"/>
      <c r="P22" s="4">
        <v>165</v>
      </c>
      <c r="Q22" s="5"/>
      <c r="R22" s="12" t="s">
        <v>52</v>
      </c>
      <c r="S22" s="5">
        <f>_xlfn.NORM.S.INV(1-0.03/2)</f>
        <v>2.1700903775845601</v>
      </c>
      <c r="T22" s="5"/>
      <c r="U22" s="5"/>
      <c r="V22" s="5"/>
      <c r="W22" s="5"/>
      <c r="X22" s="5"/>
      <c r="Y22" s="5"/>
      <c r="Z22" s="5"/>
      <c r="AA22" s="5"/>
      <c r="AB22" s="6"/>
    </row>
    <row r="23" spans="1:28" x14ac:dyDescent="0.3">
      <c r="A23" s="4"/>
      <c r="B23" s="7" t="s">
        <v>26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6"/>
      <c r="O23" s="5"/>
      <c r="P23" s="4">
        <v>156</v>
      </c>
      <c r="Q23" s="5"/>
      <c r="R23" s="12" t="s">
        <v>53</v>
      </c>
      <c r="S23" s="5">
        <f>S22*S10</f>
        <v>2.3735688659823899</v>
      </c>
      <c r="T23" s="5"/>
      <c r="U23" s="5"/>
      <c r="V23" s="5"/>
      <c r="W23" s="5"/>
      <c r="X23" s="5"/>
      <c r="Y23" s="5"/>
      <c r="Z23" s="5"/>
      <c r="AA23" s="5"/>
      <c r="AB23" s="6"/>
    </row>
    <row r="24" spans="1:28" x14ac:dyDescent="0.3">
      <c r="A24" s="4"/>
      <c r="B24" s="5" t="s">
        <v>12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6"/>
      <c r="O24" s="5"/>
      <c r="P24" s="4">
        <v>151</v>
      </c>
      <c r="Q24" s="5"/>
      <c r="R24" s="12" t="s">
        <v>57</v>
      </c>
      <c r="S24" s="5">
        <f>(S9-S8)/(S13/SQRT(S21))</f>
        <v>1.097127827392377</v>
      </c>
      <c r="T24" s="5"/>
      <c r="U24" s="5"/>
      <c r="V24" s="5"/>
      <c r="W24" s="5"/>
      <c r="X24" s="5"/>
      <c r="Y24" s="5"/>
      <c r="Z24" s="5"/>
      <c r="AA24" s="5"/>
      <c r="AB24" s="6"/>
    </row>
    <row r="25" spans="1:28" x14ac:dyDescent="0.3">
      <c r="A25" s="4"/>
      <c r="B25" s="5" t="s">
        <v>13</v>
      </c>
      <c r="C25" s="5" t="s">
        <v>14</v>
      </c>
      <c r="D25" s="5">
        <v>75</v>
      </c>
      <c r="E25" s="5"/>
      <c r="F25" s="5"/>
      <c r="G25" s="5"/>
      <c r="H25" s="5"/>
      <c r="I25" s="5"/>
      <c r="J25" s="5"/>
      <c r="K25" s="5"/>
      <c r="L25" s="5"/>
      <c r="M25" s="5"/>
      <c r="N25" s="6"/>
      <c r="O25" s="5"/>
      <c r="P25" s="4">
        <v>162</v>
      </c>
      <c r="Q25" s="5"/>
      <c r="R25" s="12" t="s">
        <v>59</v>
      </c>
      <c r="S25" s="5">
        <f>2*(1-_xlfn.NORM.S.DIST(S24,1))</f>
        <v>0.27258551722126834</v>
      </c>
      <c r="T25" s="5"/>
      <c r="U25" s="5"/>
      <c r="V25" s="5"/>
      <c r="W25" s="5"/>
      <c r="X25" s="5"/>
      <c r="Y25" s="5"/>
      <c r="Z25" s="5"/>
      <c r="AA25" s="5"/>
      <c r="AB25" s="6"/>
    </row>
    <row r="26" spans="1:28" x14ac:dyDescent="0.3">
      <c r="A26" s="4"/>
      <c r="B26" s="5" t="s">
        <v>15</v>
      </c>
      <c r="C26" s="5" t="s">
        <v>16</v>
      </c>
      <c r="D26" s="5">
        <v>75</v>
      </c>
      <c r="E26" s="5"/>
      <c r="F26" s="5"/>
      <c r="G26" s="5"/>
      <c r="H26" s="5"/>
      <c r="I26" s="5"/>
      <c r="J26" s="5"/>
      <c r="K26" s="5"/>
      <c r="L26" s="5"/>
      <c r="M26" s="5"/>
      <c r="N26" s="6"/>
      <c r="O26" s="5"/>
      <c r="P26" s="4">
        <v>150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6"/>
    </row>
    <row r="27" spans="1:28" x14ac:dyDescent="0.3">
      <c r="A27" s="4"/>
      <c r="B27" s="5" t="s">
        <v>17</v>
      </c>
      <c r="C27" s="5"/>
      <c r="D27" s="5">
        <v>56</v>
      </c>
      <c r="E27" s="5"/>
      <c r="F27" s="5"/>
      <c r="G27" s="5"/>
      <c r="H27" s="5"/>
      <c r="I27" s="5"/>
      <c r="J27" s="5"/>
      <c r="K27" s="5"/>
      <c r="L27" s="5"/>
      <c r="M27" s="5"/>
      <c r="N27" s="6"/>
      <c r="O27" s="5"/>
      <c r="P27" s="4">
        <v>156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6"/>
    </row>
    <row r="28" spans="1:28" x14ac:dyDescent="0.3">
      <c r="A28" s="4"/>
      <c r="B28" s="5" t="s">
        <v>18</v>
      </c>
      <c r="C28" s="5"/>
      <c r="D28" s="5">
        <v>77.040000000000006</v>
      </c>
      <c r="E28" s="5"/>
      <c r="F28" s="5"/>
      <c r="G28" s="5"/>
      <c r="H28" s="5"/>
      <c r="I28" s="5"/>
      <c r="J28" s="5"/>
      <c r="K28" s="5"/>
      <c r="L28" s="5"/>
      <c r="M28" s="5"/>
      <c r="N28" s="6"/>
      <c r="O28" s="5"/>
      <c r="P28" s="4">
        <v>152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6"/>
    </row>
    <row r="29" spans="1:28" x14ac:dyDescent="0.3">
      <c r="A29" s="4"/>
      <c r="B29" s="5" t="s">
        <v>19</v>
      </c>
      <c r="C29" s="5"/>
      <c r="D29" s="5">
        <v>6.8</v>
      </c>
      <c r="E29" s="5"/>
      <c r="F29" s="5"/>
      <c r="G29" s="5"/>
      <c r="H29" s="5"/>
      <c r="I29" s="5"/>
      <c r="J29" s="5"/>
      <c r="K29" s="5"/>
      <c r="L29" s="5"/>
      <c r="M29" s="5"/>
      <c r="N29" s="6"/>
      <c r="O29" s="5"/>
      <c r="P29" s="4">
        <v>161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6"/>
    </row>
    <row r="30" spans="1:28" x14ac:dyDescent="0.3">
      <c r="A30" s="4"/>
      <c r="B30" s="5" t="s">
        <v>20</v>
      </c>
      <c r="C30" s="5">
        <v>0.05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6"/>
      <c r="O30" s="5"/>
      <c r="P30" s="4">
        <v>165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6"/>
    </row>
    <row r="31" spans="1:28" x14ac:dyDescent="0.3">
      <c r="A31" s="4"/>
      <c r="B31" s="5" t="s">
        <v>21</v>
      </c>
      <c r="C31" s="5"/>
      <c r="D31" s="5">
        <f>_xlfn.NORM.S.INV(1-C30)</f>
        <v>1.6448536269514715</v>
      </c>
      <c r="E31" s="5"/>
      <c r="F31" s="5"/>
      <c r="G31" s="5"/>
      <c r="H31" s="5"/>
      <c r="I31" s="5"/>
      <c r="J31" s="5"/>
      <c r="K31" s="5"/>
      <c r="L31" s="5"/>
      <c r="M31" s="5"/>
      <c r="N31" s="6"/>
      <c r="O31" s="5"/>
      <c r="P31" s="4">
        <v>168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6"/>
    </row>
    <row r="32" spans="1:28" x14ac:dyDescent="0.3">
      <c r="A32" s="4"/>
      <c r="B32" s="5" t="s">
        <v>22</v>
      </c>
      <c r="C32" s="5"/>
      <c r="D32" s="5">
        <f>(D28-D25)/(D29/SQRT(D27))</f>
        <v>2.2449944320643715</v>
      </c>
      <c r="E32" s="5"/>
      <c r="F32" s="5"/>
      <c r="G32" s="5"/>
      <c r="H32" s="5"/>
      <c r="I32" s="5"/>
      <c r="J32" s="5"/>
      <c r="K32" s="5"/>
      <c r="L32" s="5"/>
      <c r="M32" s="5"/>
      <c r="N32" s="6"/>
      <c r="O32" s="5"/>
      <c r="P32" s="4">
        <v>167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6"/>
    </row>
    <row r="33" spans="1:28" x14ac:dyDescent="0.3">
      <c r="A33" s="4"/>
      <c r="B33" s="5" t="s">
        <v>23</v>
      </c>
      <c r="C33" s="5"/>
      <c r="D33" s="5">
        <f>1-_xlfn.NORM.S.DIST(D32,1)</f>
        <v>1.2384245004659289E-2</v>
      </c>
      <c r="E33" s="5"/>
      <c r="F33" s="5"/>
      <c r="G33" s="5"/>
      <c r="H33" s="5"/>
      <c r="I33" s="5"/>
      <c r="J33" s="5"/>
      <c r="K33" s="5"/>
      <c r="L33" s="5"/>
      <c r="M33" s="5"/>
      <c r="N33" s="6"/>
      <c r="O33" s="5"/>
      <c r="P33" s="4">
        <v>165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6"/>
    </row>
    <row r="34" spans="1:28" x14ac:dyDescent="0.3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6"/>
      <c r="O34" s="5"/>
      <c r="P34" s="4">
        <v>168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6"/>
    </row>
    <row r="35" spans="1:28" x14ac:dyDescent="0.3">
      <c r="A35" s="4"/>
      <c r="B35" s="5" t="s">
        <v>27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6"/>
      <c r="O35" s="5"/>
      <c r="P35" s="4">
        <v>159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6"/>
    </row>
    <row r="36" spans="1:28" x14ac:dyDescent="0.3">
      <c r="A36" s="4"/>
      <c r="B36" s="7" t="s">
        <v>28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6"/>
      <c r="O36" s="5"/>
      <c r="P36" s="8">
        <v>156</v>
      </c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10"/>
    </row>
    <row r="37" spans="1:28" x14ac:dyDescent="0.3">
      <c r="A37" s="4"/>
      <c r="B37" s="7" t="s">
        <v>32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6"/>
      <c r="O37" s="5"/>
      <c r="P37" s="5"/>
    </row>
    <row r="38" spans="1:28" x14ac:dyDescent="0.3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6"/>
      <c r="O38" s="5"/>
      <c r="P38" s="5"/>
    </row>
    <row r="39" spans="1:28" x14ac:dyDescent="0.3">
      <c r="A39" s="4"/>
      <c r="B39" s="5" t="s">
        <v>29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6"/>
      <c r="O39" s="5"/>
      <c r="P39" s="5"/>
    </row>
    <row r="40" spans="1:28" x14ac:dyDescent="0.3">
      <c r="A40" s="4"/>
      <c r="B40" s="7" t="s">
        <v>30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6"/>
      <c r="O40" s="5"/>
      <c r="P40" s="5"/>
    </row>
    <row r="41" spans="1:28" x14ac:dyDescent="0.3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10"/>
      <c r="O41" s="5"/>
      <c r="P41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이지형</dc:creator>
  <cp:lastModifiedBy>이지형</cp:lastModifiedBy>
  <dcterms:created xsi:type="dcterms:W3CDTF">2026-05-20T18:19:52Z</dcterms:created>
  <dcterms:modified xsi:type="dcterms:W3CDTF">2026-05-20T19:29:08Z</dcterms:modified>
</cp:coreProperties>
</file>