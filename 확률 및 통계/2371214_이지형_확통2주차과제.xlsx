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"/>
    </mc:Choice>
  </mc:AlternateContent>
  <xr:revisionPtr revIDLastSave="0" documentId="13_ncr:1_{619404BB-ABAB-4240-A93F-88C0A95CB90F}" xr6:coauthVersionLast="47" xr6:coauthVersionMax="47" xr10:uidLastSave="{00000000-0000-0000-0000-000000000000}"/>
  <bookViews>
    <workbookView xWindow="-108" yWindow="-108" windowWidth="23256" windowHeight="13896" xr2:uid="{5612C5F1-29CA-41AA-904C-79B065C1A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F20" i="1"/>
  <c r="F19" i="1"/>
  <c r="F18" i="1"/>
  <c r="G5" i="1"/>
  <c r="G6" i="1"/>
  <c r="G7" i="1"/>
  <c r="G8" i="1"/>
  <c r="G9" i="1"/>
  <c r="G10" i="1"/>
  <c r="G11" i="1"/>
  <c r="G12" i="1"/>
  <c r="G4" i="1"/>
  <c r="F12" i="1"/>
  <c r="F4" i="1" a="1"/>
  <c r="F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<sst xmlns="http://schemas.openxmlformats.org/spreadsheetml/2006/main" count="27" uniqueCount="27">
  <si>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성적</t>
    <phoneticPr fontId="1" type="noConversion"/>
  </si>
  <si>
    <t>bin</t>
    <phoneticPr fontId="1" type="noConversion"/>
  </si>
  <si>
    <t>freq</t>
    <phoneticPr fontId="1" type="noConversion"/>
  </si>
  <si>
    <t>relative freq</t>
    <phoneticPr fontId="1" type="noConversion"/>
  </si>
  <si>
    <t>기타</t>
  </si>
  <si>
    <t>빈도수</t>
  </si>
  <si>
    <t>39.5</t>
  </si>
  <si>
    <t>줄기</t>
    <phoneticPr fontId="1" type="noConversion"/>
  </si>
  <si>
    <t>잎</t>
    <phoneticPr fontId="1" type="noConversion"/>
  </si>
  <si>
    <t>40~44</t>
    <phoneticPr fontId="1" type="noConversion"/>
  </si>
  <si>
    <t>45~49</t>
    <phoneticPr fontId="1" type="noConversion"/>
  </si>
  <si>
    <t>50~54</t>
    <phoneticPr fontId="1" type="noConversion"/>
  </si>
  <si>
    <t>55~59</t>
    <phoneticPr fontId="1" type="noConversion"/>
  </si>
  <si>
    <t>60~64</t>
    <phoneticPr fontId="1" type="noConversion"/>
  </si>
  <si>
    <t>65~69</t>
    <phoneticPr fontId="1" type="noConversion"/>
  </si>
  <si>
    <t>70~74</t>
    <phoneticPr fontId="1" type="noConversion"/>
  </si>
  <si>
    <t>75~79</t>
    <phoneticPr fontId="1" type="noConversion"/>
  </si>
  <si>
    <t>80~84</t>
    <phoneticPr fontId="1" type="noConversion"/>
  </si>
  <si>
    <t>85~89</t>
    <phoneticPr fontId="1" type="noConversion"/>
  </si>
  <si>
    <t>90~94</t>
    <phoneticPr fontId="1" type="noConversion"/>
  </si>
  <si>
    <t>줄기-잎 그림</t>
    <phoneticPr fontId="1" type="noConversion"/>
  </si>
  <si>
    <t>줄기의 개수가 11인 줄기-잎 그림</t>
    <phoneticPr fontId="1" type="noConversion"/>
  </si>
  <si>
    <t>히스토그램</t>
    <phoneticPr fontId="1" type="noConversion"/>
  </si>
  <si>
    <t>줄기잎그림은 분포와 데이터값을 직관적으로 확인할수 있지만 데이터가 많아질수록 복잡해보이며 육안으로 확인할때도</t>
    <phoneticPr fontId="1" type="noConversion"/>
  </si>
  <si>
    <t xml:space="preserve">복잡한 느낌이고, 히스토그램은 막대그래프로 데이터의 분포도를 한번에 확인할수있어서 분포형태를 확인하기에 </t>
    <phoneticPr fontId="1" type="noConversion"/>
  </si>
  <si>
    <t>휠씬 수월하다고 생각합니다.</t>
    <phoneticPr fontId="1" type="noConversion"/>
  </si>
  <si>
    <t>2371214 이지형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</si>
</sst>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16064063420643"/>
          <c:y val="0.29065293977290274"/>
          <c:w val="0.71781582149170131"/>
          <c:h val="0.54332638567237923"/>
        </c:manualLayout>
      </c:layout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Sheet1!$I$4:$I$11</c:f>
              <c:strCache>
                <c:ptCount val="8"/>
                <c:pt idx="0">
                  <c:v>47.5</c:v>
                </c:pt>
                <c:pt idx="1">
                  <c:v>55.5</c:v>
                </c:pt>
                <c:pt idx="2">
                  <c:v>63.5</c:v>
                </c:pt>
                <c:pt idx="3">
                  <c:v>71.5</c:v>
                </c:pt>
                <c:pt idx="4">
                  <c:v>79.5</c:v>
                </c:pt>
                <c:pt idx="5">
                  <c:v>87.5</c:v>
                </c:pt>
                <c:pt idx="6">
                  <c:v>95.5</c:v>
                </c:pt>
                <c:pt idx="7">
                  <c:v>기타</c:v>
                </c:pt>
              </c:strCache>
            </c:strRef>
          </c:cat>
          <c:val>
            <c:numRef>
              <c:f>Sheet1!$J$4:$J$11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D-4836-B255-C7087FBA9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5205360"/>
        <c:axId val="1595205840"/>
      </c:barChart>
      <c:catAx>
        <c:axId val="159520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39.5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205840"/>
        <c:crosses val="autoZero"/>
        <c:auto val="1"/>
        <c:lblAlgn val="ctr"/>
        <c:lblOffset val="100"/>
        <c:noMultiLvlLbl val="0"/>
      </c:catAx>
      <c:valAx>
        <c:axId val="1595205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5205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상대도수 다각형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relative freq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Sheet1!$E$4:$E$11</c:f>
              <c:numCache>
                <c:formatCode>General</c:formatCode>
                <c:ptCount val="8"/>
                <c:pt idx="0">
                  <c:v>39.5</c:v>
                </c:pt>
                <c:pt idx="1">
                  <c:v>47.5</c:v>
                </c:pt>
                <c:pt idx="2">
                  <c:v>55.5</c:v>
                </c:pt>
                <c:pt idx="3">
                  <c:v>63.5</c:v>
                </c:pt>
                <c:pt idx="4">
                  <c:v>71.5</c:v>
                </c:pt>
                <c:pt idx="5">
                  <c:v>79.5</c:v>
                </c:pt>
                <c:pt idx="6">
                  <c:v>87.5</c:v>
                </c:pt>
                <c:pt idx="7">
                  <c:v>95.5</c:v>
                </c:pt>
              </c:numCache>
            </c:numRef>
          </c:cat>
          <c:val>
            <c:numRef>
              <c:f>Sheet1!$G$4:$G$11</c:f>
              <c:numCache>
                <c:formatCode>0.00_ </c:formatCode>
                <c:ptCount val="8"/>
                <c:pt idx="0">
                  <c:v>0</c:v>
                </c:pt>
                <c:pt idx="1">
                  <c:v>2.8571428571428571E-2</c:v>
                </c:pt>
                <c:pt idx="2">
                  <c:v>8.5714285714285715E-2</c:v>
                </c:pt>
                <c:pt idx="3">
                  <c:v>0.22857142857142856</c:v>
                </c:pt>
                <c:pt idx="4">
                  <c:v>5.7142857142857141E-2</c:v>
                </c:pt>
                <c:pt idx="5">
                  <c:v>0.14285714285714285</c:v>
                </c:pt>
                <c:pt idx="6">
                  <c:v>0.31428571428571428</c:v>
                </c:pt>
                <c:pt idx="7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2-49EE-B364-769A8C093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747344"/>
        <c:axId val="1335747824"/>
      </c:lineChart>
      <c:catAx>
        <c:axId val="13357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5747824"/>
        <c:crosses val="autoZero"/>
        <c:auto val="1"/>
        <c:lblAlgn val="ctr"/>
        <c:lblOffset val="100"/>
        <c:noMultiLvlLbl val="0"/>
      </c:catAx>
      <c:valAx>
        <c:axId val="13357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57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297180</xdr:colOff>
      <xdr:row>2</xdr:row>
      <xdr:rowOff>38100</xdr:rowOff>
    </xdr:from>
    <xdr:to>
      <xdr:col>18</xdr:col>
      <xdr:colOff>160020</xdr:colOff>
      <xdr:row>15</xdr:row>
      <xdr:rowOff>7620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9F881CE-CE11-4B5F-9750-BE5A8F950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270510</xdr:colOff>
      <xdr:row>16</xdr:row>
      <xdr:rowOff>53340</xdr:rowOff>
    </xdr:from>
    <xdr:to>
      <xdr:col>18</xdr:col>
      <xdr:colOff>144780</xdr:colOff>
      <xdr:row>29</xdr:row>
      <xdr:rowOff>175260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E9BAADC-903D-2EA3-4810-BEFF3F306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69B9-1B1D-44F8-9600-2C2FC6943B7B}">
  <dimension ref="A1:L36"/>
  <sheetViews>
    <sheetView tabSelected="1" workbookViewId="0">
      <selection activeCell="H15" sqref="H15"/>
    </sheetView>
  </sheetViews>
  <sheetFormatPr defaultRowHeight="17.399999999999999" x14ac:dyDescent="0.4"/>
  <sheetData>
    <row r="1" spans="1:12" x14ac:dyDescent="0.4">
      <c r="A1" t="s">
        <v>0</v>
      </c>
    </row>
    <row r="2" spans="1:12" ht="30.6" thickBot="1" x14ac:dyDescent="0.45">
      <c r="A2">
        <v>54</v>
      </c>
      <c r="B2" s="14" t="s">
        <v>26</v>
      </c>
      <c r="L2" t="s">
        <v>22</v>
      </c>
    </row>
    <row r="3" spans="1:12" x14ac:dyDescent="0.4">
      <c r="A3">
        <v>80</v>
      </c>
      <c r="E3" s="1" t="s">
        <v>1</v>
      </c>
      <c r="F3" s="2" t="s">
        <v>2</v>
      </c>
      <c r="G3" s="3" t="s">
        <v>3</v>
      </c>
      <c r="I3" s="10" t="s">
        <v>6</v>
      </c>
      <c r="J3" s="10" t="s">
        <v>5</v>
      </c>
    </row>
    <row r="4" spans="1:12" x14ac:dyDescent="0.4">
      <c r="A4">
        <v>83</v>
      </c>
      <c r="E4" s="4">
        <v>39.5</v>
      </c>
      <c r="F4" cm="1">
        <f t="array" ref="F4:F11">FREQUENCY(A2:A36,E4:E10)</f>
        <v>0</v>
      </c>
      <c r="G4" s="5">
        <f>F4/$F$12</f>
        <v>0</v>
      </c>
      <c r="I4">
        <v>47.5</v>
      </c>
      <c r="J4">
        <v>1</v>
      </c>
    </row>
    <row r="5" spans="1:12" x14ac:dyDescent="0.4">
      <c r="A5">
        <v>42</v>
      </c>
      <c r="E5" s="4">
        <v>47.5</v>
      </c>
      <c r="F5">
        <v>1</v>
      </c>
      <c r="G5" s="5">
        <f t="shared" ref="G5:G12" si="0">F5/$F$12</f>
        <v>2.8571428571428571E-2</v>
      </c>
      <c r="I5">
        <v>55.5</v>
      </c>
      <c r="J5">
        <v>2</v>
      </c>
    </row>
    <row r="6" spans="1:12" x14ac:dyDescent="0.4">
      <c r="A6">
        <v>86</v>
      </c>
      <c r="E6" s="4">
        <v>55.5</v>
      </c>
      <c r="F6">
        <v>3</v>
      </c>
      <c r="G6" s="5">
        <f t="shared" si="0"/>
        <v>8.5714285714285715E-2</v>
      </c>
      <c r="I6">
        <v>63.5</v>
      </c>
      <c r="J6">
        <v>8</v>
      </c>
    </row>
    <row r="7" spans="1:12" x14ac:dyDescent="0.4">
      <c r="A7">
        <v>63</v>
      </c>
      <c r="E7" s="4">
        <v>63.5</v>
      </c>
      <c r="F7">
        <v>8</v>
      </c>
      <c r="G7" s="5">
        <f t="shared" si="0"/>
        <v>0.22857142857142856</v>
      </c>
      <c r="I7">
        <v>71.5</v>
      </c>
      <c r="J7">
        <v>2</v>
      </c>
    </row>
    <row r="8" spans="1:12" x14ac:dyDescent="0.4">
      <c r="A8">
        <v>63</v>
      </c>
      <c r="E8" s="4">
        <v>71.5</v>
      </c>
      <c r="F8">
        <v>2</v>
      </c>
      <c r="G8" s="5">
        <f t="shared" si="0"/>
        <v>5.7142857142857141E-2</v>
      </c>
      <c r="I8">
        <v>79.5</v>
      </c>
      <c r="J8">
        <v>5</v>
      </c>
    </row>
    <row r="9" spans="1:12" x14ac:dyDescent="0.4">
      <c r="A9">
        <v>57</v>
      </c>
      <c r="E9" s="4">
        <v>79.5</v>
      </c>
      <c r="F9">
        <v>5</v>
      </c>
      <c r="G9" s="5">
        <f t="shared" si="0"/>
        <v>0.14285714285714285</v>
      </c>
      <c r="I9">
        <v>87.5</v>
      </c>
      <c r="J9">
        <v>11</v>
      </c>
    </row>
    <row r="10" spans="1:12" x14ac:dyDescent="0.4">
      <c r="A10">
        <v>71</v>
      </c>
      <c r="E10" s="4">
        <v>87.5</v>
      </c>
      <c r="F10">
        <v>11</v>
      </c>
      <c r="G10" s="5">
        <f t="shared" si="0"/>
        <v>0.31428571428571428</v>
      </c>
      <c r="I10">
        <v>95.5</v>
      </c>
      <c r="J10">
        <v>5</v>
      </c>
    </row>
    <row r="11" spans="1:12" ht="18" thickBot="1" x14ac:dyDescent="0.45">
      <c r="A11">
        <v>84</v>
      </c>
      <c r="E11" s="4">
        <v>95.5</v>
      </c>
      <c r="F11">
        <v>5</v>
      </c>
      <c r="G11" s="5">
        <f t="shared" si="0"/>
        <v>0.14285714285714285</v>
      </c>
      <c r="I11" s="9" t="s">
        <v>4</v>
      </c>
      <c r="J11" s="9">
        <v>0</v>
      </c>
    </row>
    <row r="12" spans="1:12" x14ac:dyDescent="0.4">
      <c r="A12">
        <v>77</v>
      </c>
      <c r="E12" s="6"/>
      <c r="F12" s="7">
        <f>SUM(_xlfn.ANCHORARRAY(F4))</f>
        <v>35</v>
      </c>
      <c r="G12" s="11">
        <f t="shared" si="0"/>
        <v>1</v>
      </c>
    </row>
    <row r="13" spans="1:12" x14ac:dyDescent="0.4">
      <c r="A13">
        <v>59</v>
      </c>
    </row>
    <row r="14" spans="1:12" x14ac:dyDescent="0.4">
      <c r="A14">
        <v>90</v>
      </c>
    </row>
    <row r="15" spans="1:12" x14ac:dyDescent="0.4">
      <c r="A15">
        <v>73</v>
      </c>
      <c r="E15" t="s">
        <v>21</v>
      </c>
    </row>
    <row r="16" spans="1:12" ht="27.6" x14ac:dyDescent="0.4">
      <c r="A16">
        <v>81</v>
      </c>
      <c r="E16" s="12" t="s">
        <v>20</v>
      </c>
      <c r="F16" s="2"/>
      <c r="G16" s="3"/>
    </row>
    <row r="17" spans="1:7" x14ac:dyDescent="0.4">
      <c r="A17">
        <v>76</v>
      </c>
      <c r="E17" s="4" t="s">
        <v>7</v>
      </c>
      <c r="F17" t="s">
        <v>8</v>
      </c>
      <c r="G17" s="13"/>
    </row>
    <row r="18" spans="1:7" x14ac:dyDescent="0.4">
      <c r="A18">
        <v>56</v>
      </c>
      <c r="E18" s="4" t="s">
        <v>9</v>
      </c>
      <c r="F18" t="str">
        <f>REPT("0 ", COUNTIF($A$2:$A$36,40)) &amp;
 REPT("1 ", COUNTIF($A$2:$A$36,41)) &amp;
 REPT("2 ", COUNTIF($A$2:$A$36,42)) &amp;
 REPT("3 ", COUNTIF($A$2:$A$36,43)) &amp;
 REPT("4 ", COUNTIF($A$2:$A$36,44))</f>
        <v xml:space="preserve">2 </v>
      </c>
      <c r="G18" s="13"/>
    </row>
    <row r="19" spans="1:7" x14ac:dyDescent="0.4">
      <c r="A19">
        <v>81</v>
      </c>
      <c r="E19" s="4" t="s">
        <v>10</v>
      </c>
      <c r="F19" t="str">
        <f>REPT("5 ", COUNTIF($A$2:$A$36,45)) &amp;
 REPT("6 ", COUNTIF($A$2:$A$36,46)) &amp;
 REPT("7 ", COUNTIF($A$2:$A$36,47)) &amp;
 REPT("8 ", COUNTIF($A$2:$A$36,48)) &amp;
 REPT("9 ", COUNTIF($A$2:$A$36,49))</f>
        <v/>
      </c>
      <c r="G19" s="13"/>
    </row>
    <row r="20" spans="1:7" x14ac:dyDescent="0.4">
      <c r="A20">
        <v>85</v>
      </c>
      <c r="E20" s="4" t="s">
        <v>11</v>
      </c>
      <c r="F20" t="str">
        <f>REPT("0 ", COUNTIF($A$2:$A$36,50)) &amp;
 REPT("1 ", COUNTIF($A$2:$A$36,51)) &amp;
 REPT("2 ", COUNTIF($A$2:$A$36,52)) &amp;
 REPT("3 ", COUNTIF($A$2:$A$36,53)) &amp;
 REPT("4 ", COUNTIF($A$2:$A$36,54))</f>
        <v xml:space="preserve">0 1 4 </v>
      </c>
      <c r="G20" s="13"/>
    </row>
    <row r="21" spans="1:7" x14ac:dyDescent="0.4">
      <c r="A21">
        <v>51</v>
      </c>
      <c r="E21" s="4" t="s">
        <v>12</v>
      </c>
      <c r="F21" t="str">
        <f>REPT("5 ", COUNTIF($A$2:$A$36,55)) &amp;
 REPT("6 ", COUNTIF($A$2:$A$36,56)) &amp;
 REPT("7 ", COUNTIF($A$2:$A$36,57)) &amp;
 REPT("8 ", COUNTIF($A$2:$A$36,58)) &amp;
 REPT("9 ", COUNTIF($A$2:$A$36,59))</f>
        <v xml:space="preserve">6 6 7 8 9 </v>
      </c>
      <c r="G21" s="13"/>
    </row>
    <row r="22" spans="1:7" x14ac:dyDescent="0.4">
      <c r="A22">
        <v>94</v>
      </c>
      <c r="E22" s="4" t="s">
        <v>13</v>
      </c>
      <c r="F22" t="str">
        <f>REPT("0 ", COUNTIF($A$2:$A$36,60)) &amp;
 REPT("1 ", COUNTIF($A$2:$A$36,61)) &amp;
 REPT("2 ", COUNTIF($A$2:$A$36,62)) &amp;
 REPT("3 ", COUNTIF($A$2:$A$36,63)) &amp;
 REPT("4 ", COUNTIF($A$2:$A$36,64))</f>
        <v xml:space="preserve">1 3 3 </v>
      </c>
      <c r="G22" s="13"/>
    </row>
    <row r="23" spans="1:7" x14ac:dyDescent="0.4">
      <c r="A23">
        <v>66</v>
      </c>
      <c r="E23" s="4" t="s">
        <v>14</v>
      </c>
      <c r="F23" t="str">
        <f>REPT("5 ", COUNTIF($A$2:$A$36,65)) &amp;
 REPT("6 ", COUNTIF($A$2:$A$36,66)) &amp;
 REPT("7 ", COUNTIF($A$2:$A$36,67)) &amp;
 REPT("8 ", COUNTIF($A$2:$A$36,68)) &amp;
 REPT("9 ", COUNTIF($A$2:$A$36,69))</f>
        <v xml:space="preserve">6 </v>
      </c>
      <c r="G23" s="13"/>
    </row>
    <row r="24" spans="1:7" x14ac:dyDescent="0.4">
      <c r="A24">
        <v>73</v>
      </c>
      <c r="E24" s="4" t="s">
        <v>15</v>
      </c>
      <c r="F24" t="str">
        <f>REPT("0 ", COUNTIF($A$2:$A$36,70)) &amp;
 REPT("1 ", COUNTIF($A$2:$A$36,71)) &amp;
 REPT("2 ", COUNTIF($A$2:$A$36,72)) &amp;
 REPT("3 ", COUNTIF($A$2:$A$36,73)) &amp;
 REPT("4 ", COUNTIF($A$2:$A$36,74))</f>
        <v xml:space="preserve">1 3 3 </v>
      </c>
      <c r="G24" s="13"/>
    </row>
    <row r="25" spans="1:7" x14ac:dyDescent="0.4">
      <c r="A25">
        <v>88</v>
      </c>
      <c r="E25" s="4" t="s">
        <v>16</v>
      </c>
      <c r="F25" t="str">
        <f>REPT("5 ", COUNTIF($A$2:$A$36,75)) &amp;
 REPT("6 ", COUNTIF($A$2:$A$36,76)) &amp;
 REPT("7 ", COUNTIF($A$2:$A$36,77)) &amp;
 REPT("8 ", COUNTIF($A$2:$A$36,78)) &amp;
 REPT("9 ", COUNTIF($A$2:$A$36,79))</f>
        <v xml:space="preserve">6 7 8 </v>
      </c>
      <c r="G25" s="13"/>
    </row>
    <row r="26" spans="1:7" x14ac:dyDescent="0.4">
      <c r="A26">
        <v>89</v>
      </c>
      <c r="E26" s="4" t="s">
        <v>17</v>
      </c>
      <c r="F26" t="str">
        <f>REPT("0 ", COUNTIF($A$2:$A$36,80)) &amp;
 REPT("1 ", COUNTIF($A$2:$A$36,81)) &amp;
 REPT("2 ", COUNTIF($A$2:$A$36,82)) &amp;
 REPT("3 ", COUNTIF($A$2:$A$36,83)) &amp;
 REPT("4 ", COUNTIF($A$2:$A$36,84))</f>
        <v xml:space="preserve">0 1 1 2 3 3 4 4 </v>
      </c>
      <c r="G26" s="13"/>
    </row>
    <row r="27" spans="1:7" x14ac:dyDescent="0.4">
      <c r="A27">
        <v>87</v>
      </c>
      <c r="E27" s="4" t="s">
        <v>18</v>
      </c>
      <c r="F27" t="str">
        <f>REPT("5 ", COUNTIF($A$2:$A$36,85)) &amp;
 REPT("6 ", COUNTIF($A$2:$A$36,86)) &amp;
 REPT("7 ", COUNTIF($A$2:$A$36,87)) &amp;
 REPT("8 ", COUNTIF($A$2:$A$36,88)) &amp;
 REPT("9 ", COUNTIF($A$2:$A$36,89))</f>
        <v xml:space="preserve">5 6 7 8 9 </v>
      </c>
      <c r="G27" s="13"/>
    </row>
    <row r="28" spans="1:7" x14ac:dyDescent="0.4">
      <c r="A28">
        <v>56</v>
      </c>
      <c r="E28" s="6" t="s">
        <v>19</v>
      </c>
      <c r="F28" s="7" t="str">
        <f>REPT("0 ", COUNTIF($A$2:$A$36,90)) &amp;
 REPT("1 ", COUNTIF($A$2:$A$36,91)) &amp;
 REPT("2 ", COUNTIF($A$2:$A$36,92)) &amp;
 REPT("3 ", COUNTIF($A$2:$A$36,93)) &amp;
 REPT("4 ", COUNTIF($A$2:$A$36,94))</f>
        <v xml:space="preserve">0 1 4 </v>
      </c>
      <c r="G28" s="8"/>
    </row>
    <row r="29" spans="1:7" x14ac:dyDescent="0.4">
      <c r="A29">
        <v>84</v>
      </c>
    </row>
    <row r="30" spans="1:7" x14ac:dyDescent="0.4">
      <c r="A30">
        <v>61</v>
      </c>
    </row>
    <row r="31" spans="1:7" x14ac:dyDescent="0.4">
      <c r="A31">
        <v>78</v>
      </c>
    </row>
    <row r="32" spans="1:7" x14ac:dyDescent="0.4">
      <c r="A32">
        <v>83</v>
      </c>
      <c r="G32" t="s">
        <v>23</v>
      </c>
    </row>
    <row r="33" spans="1:7" x14ac:dyDescent="0.4">
      <c r="A33">
        <v>91</v>
      </c>
      <c r="G33" t="s">
        <v>24</v>
      </c>
    </row>
    <row r="34" spans="1:7" x14ac:dyDescent="0.4">
      <c r="A34">
        <v>58</v>
      </c>
      <c r="G34" t="s">
        <v>25</v>
      </c>
    </row>
    <row r="35" spans="1:7" x14ac:dyDescent="0.4">
      <c r="A35">
        <v>50</v>
      </c>
    </row>
    <row r="36" spans="1:7" x14ac:dyDescent="0.4">
      <c r="A36">
        <v>82</v>
      </c>
    </row>
  </sheetData>
  <sortState xmlns:xlrd2="http://schemas.microsoft.com/office/spreadsheetml/2017/richdata2" ref="I4:I10">
    <sortCondition ref="I4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2026-03-18T10:01:39Z</dcterms:created>
  <dcterms:modified xsi:type="dcterms:W3CDTF">2026-03-19T04:29:15Z</dcterms:modified>
</cp:coreProperties>
</file>