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University-2nd-Year-1st-Semester\확률 및 통계\"/>
    </mc:Choice>
  </mc:AlternateContent>
  <xr:revisionPtr revIDLastSave="0" documentId="13_ncr:1_{EB3B5FF4-64E3-4A8E-B947-CBD21BB8DB7A}" xr6:coauthVersionLast="47" xr6:coauthVersionMax="47" xr10:uidLastSave="{00000000-0000-0000-0000-000000000000}"/>
  <bookViews>
    <workbookView xWindow="4980" yWindow="4980" windowWidth="21810" windowHeight="15345" xr2:uid="{00000000-000D-0000-FFFF-FFFF00000000}"/>
  </bookViews>
  <sheets>
    <sheet name="Sheet1" sheetId="1" r:id="rId1"/>
  </sheets>
  <definedNames>
    <definedName name="_xlchart.v1.0" hidden="1">Sheet1!$B$26:$CW$26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D54" i="1"/>
  <c r="N44" i="1"/>
  <c r="N46" i="1" s="1"/>
  <c r="N45" i="1"/>
  <c r="D27" i="1"/>
  <c r="D28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B26" i="1"/>
  <c r="N48" i="1" l="1"/>
  <c r="N47" i="1"/>
  <c r="H8" i="1" l="1"/>
</calcChain>
</file>

<file path=xl/sharedStrings.xml><?xml version="1.0" encoding="utf-8"?>
<sst xmlns="http://schemas.openxmlformats.org/spreadsheetml/2006/main" count="45" uniqueCount="45">
  <si>
    <t>문제1:어떤 대학에서 한 학생이 수강신청을 하는데 걸리는 시간은 평균이 9.4분이고</t>
    <phoneticPr fontId="1" type="noConversion"/>
  </si>
  <si>
    <t xml:space="preserve">표준편차가 1분인 분포를 따른다고 할때, 81명의 학생을 임의로 선택하여 수강신청에 </t>
    <phoneticPr fontId="1" type="noConversion"/>
  </si>
  <si>
    <t>드는 시간을 측정 하였다.</t>
    <phoneticPr fontId="1" type="noConversion"/>
  </si>
  <si>
    <t>(1)표본평군 Xbar의 평균과 표준편차를 구하라.</t>
    <phoneticPr fontId="1" type="noConversion"/>
  </si>
  <si>
    <t>(2)표본평균 Xbar의 분포는 어떻게 되겠는가?</t>
    <phoneticPr fontId="1" type="noConversion"/>
  </si>
  <si>
    <t>=&gt; 평균은 모집단의 평균과 동일하므로 표본평균은 9.4분</t>
    <phoneticPr fontId="1" type="noConversion"/>
  </si>
  <si>
    <t>=&gt;표본평균의 표준편차는 표준오차 공식이용:</t>
    <phoneticPr fontId="1" type="noConversion"/>
  </si>
  <si>
    <t>=1/SQRT(81)</t>
    <phoneticPr fontId="1" type="noConversion"/>
  </si>
  <si>
    <t>=&gt;중심 극한 정리에 의해, 모집단의 분포모양에 상관없이 표본의 크기가 30이상인 81이므로</t>
    <phoneticPr fontId="1" type="noConversion"/>
  </si>
  <si>
    <t xml:space="preserve">표본평균의 분포는 정규분포를 따른다.  </t>
    <phoneticPr fontId="1" type="noConversion"/>
  </si>
  <si>
    <t>N(9.4,(0.1111)^2)</t>
    <phoneticPr fontId="1" type="noConversion"/>
  </si>
  <si>
    <t>문제2</t>
    <phoneticPr fontId="1" type="noConversion"/>
  </si>
  <si>
    <t>표본평균</t>
    <phoneticPr fontId="1" type="noConversion"/>
  </si>
  <si>
    <t>100개 표본평균의 평균</t>
  </si>
  <si>
    <t>100개 표본평균의 표준편차</t>
  </si>
  <si>
    <t>=&gt;표본평균의 평균값과 이론적인 모평균값인 3이 일치할정도로 가깝다.</t>
    <phoneticPr fontId="1" type="noConversion"/>
  </si>
  <si>
    <t>=&gt;이론적 표준오차는 SQRT(3)/SQRT(9)이므로 0.5774이다. 아주 근사한 값을 가진다</t>
    <phoneticPr fontId="1" type="noConversion"/>
  </si>
  <si>
    <t>문제3: 한 연구자가 모평균의 90% 신뢰구간을 구한다고 하자. 그러면 작업을 200번 정도</t>
    <phoneticPr fontId="1" type="noConversion"/>
  </si>
  <si>
    <t>했다고 하면 몇 개의 신뢰구간이 실제의 평균을 포함하고 있겠는가? 그 이유를 설명하라</t>
    <phoneticPr fontId="1" type="noConversion"/>
  </si>
  <si>
    <t xml:space="preserve">=&gt;약 180개의 신뢰구간이 실제 평균을 포함하고 있을것이다. </t>
    <phoneticPr fontId="1" type="noConversion"/>
  </si>
  <si>
    <t>개수가 정확히 95%에 근사한 953개로 나타낸것을 볼수 있으므로,</t>
    <phoneticPr fontId="1" type="noConversion"/>
  </si>
  <si>
    <t>이론적인 신뢰도와 실제 모평균을 포함하는 구간의 비율이 거의 일치함을 볼수 있다.</t>
    <phoneticPr fontId="1" type="noConversion"/>
  </si>
  <si>
    <t>1.슬라이드 24장을 보면, 95%의 신뢰구간을 총1000회 구했을때 실제 모평균을 포함한 신뢰구간의</t>
    <phoneticPr fontId="1" type="noConversion"/>
  </si>
  <si>
    <t>2.따라서 본문제에서 신뢰구간을 구하는 작업을 하고 PPT24장에 있는 신뢰구간 그림에</t>
    <phoneticPr fontId="1" type="noConversion"/>
  </si>
  <si>
    <t>적용해본다면, 전체의 90%에 해당하는 약180개의 신뢰구간이 실제 모평균을 포함하는빨간색선</t>
    <phoneticPr fontId="1" type="noConversion"/>
  </si>
  <si>
    <t>에 있을것이고, 나머지 약20개는 포함하지않는 파란색 선일  것이다.</t>
    <phoneticPr fontId="1" type="noConversion"/>
  </si>
  <si>
    <t>문제4:한 엔지니어는 고속도로의 파손된 부분을 수리하는데 쓰이는 새로운 혼합 시멘트가 굳기까지 걸리는 시간을 측정하려고 한다. \</t>
    <phoneticPr fontId="1" type="noConversion"/>
  </si>
  <si>
    <t xml:space="preserve">100군데의 파손된 부분을 수리하여 굳기까지의 시간을 조사해 보니, 표본의 평균과 표준편차가 각각 32분과 4분으로 조사되었다. </t>
    <phoneticPr fontId="1" type="noConversion"/>
  </si>
  <si>
    <t>시멘트가 굳기까지의 평균시간(u)에 대한 99% 신뢰구간을 구하라.</t>
    <phoneticPr fontId="1" type="noConversion"/>
  </si>
  <si>
    <t>표본의 크기 (n)</t>
  </si>
  <si>
    <t>표본평균 (Xbar)</t>
    <phoneticPr fontId="1" type="noConversion"/>
  </si>
  <si>
    <t>표본표준편차 (s)</t>
  </si>
  <si>
    <t>99% 신뢰도 Z값</t>
    <phoneticPr fontId="1" type="noConversion"/>
  </si>
  <si>
    <t>표본평균의 표준편차</t>
  </si>
  <si>
    <t>오차 한계</t>
    <phoneticPr fontId="1" type="noConversion"/>
  </si>
  <si>
    <t>신뢰구간 하한</t>
  </si>
  <si>
    <t>신뢰구간 상한</t>
    <phoneticPr fontId="1" type="noConversion"/>
  </si>
  <si>
    <t>문제5:나이가 5살인 남자아이의 키의 표준편차가 9cm라고 가정하자.</t>
    <phoneticPr fontId="1" type="noConversion"/>
  </si>
  <si>
    <t>표본의 크기를 얼마로 하여야 하겠는가?</t>
    <phoneticPr fontId="1" type="noConversion"/>
  </si>
  <si>
    <r>
      <t xml:space="preserve">5살 남자아이의 평균키를 추정하는데 오차가 </t>
    </r>
    <r>
      <rPr>
        <sz val="11"/>
        <color theme="1"/>
        <rFont val="Arial"/>
        <family val="2"/>
      </rPr>
      <t>1.2cm</t>
    </r>
    <r>
      <rPr>
        <sz val="11"/>
        <color theme="1"/>
        <rFont val="맑은 고딕"/>
        <family val="2"/>
        <scheme val="minor"/>
      </rPr>
      <t xml:space="preserve"> 이하가 될 확률이 최소한 90%가 되도록 추정하고자 한다면</t>
    </r>
    <phoneticPr fontId="1" type="noConversion"/>
  </si>
  <si>
    <t>90% 신뢰도 Z값</t>
    <phoneticPr fontId="1" type="noConversion"/>
  </si>
  <si>
    <t>허용오차</t>
    <phoneticPr fontId="1" type="noConversion"/>
  </si>
  <si>
    <t>표준편차</t>
    <phoneticPr fontId="1" type="noConversion"/>
  </si>
  <si>
    <t>로 해야한다.</t>
    <phoneticPr fontId="1" type="noConversion"/>
  </si>
  <si>
    <t>2371214이지형_확통10주차 과제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</si>
</sst>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/>
      <top style="thick">
        <color rgb="FFFF0000"/>
      </top>
      <bottom/>
      <diagonal/>
    </border>
    <border>
      <left style="thin">
        <color auto="1"/>
      </left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/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0" borderId="0" xfId="0" applyFont="1"/>
    <xf numFmtId="0" fontId="0" fillId="0" borderId="0" xfId="0" applyBorder="1"/>
    <xf numFmtId="0" fontId="0" fillId="0" borderId="14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문제</a:t>
            </a: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2 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히스토그램</a:t>
            </a:r>
          </a:p>
        </cx:rich>
      </cx:tx>
    </cx:title>
    <cx:plotArea>
      <cx:plotAreaRegion>
        <cx:series layoutId="clusteredColumn" uniqueId="{88AD8D48-6F33-4DCA-A5E6-8B4BF2AD431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0</xdr:row>
      <xdr:rowOff>114300</xdr:rowOff>
    </xdr:from>
    <xdr:to>
      <xdr:col>16</xdr:col>
      <xdr:colOff>638175</xdr:colOff>
      <xdr:row>13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A02EBDE5-B8B1-1514-318E-049808946F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48550" y="114300"/>
              <a:ext cx="5238750" cy="3019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114300</xdr:colOff>
      <xdr:row>34</xdr:row>
      <xdr:rowOff>76200</xdr:rowOff>
    </xdr:from>
    <xdr:to>
      <xdr:col>22</xdr:col>
      <xdr:colOff>67719</xdr:colOff>
      <xdr:row>39</xdr:row>
      <xdr:rowOff>38241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72E6C8C-6198-B613-4CD6-FBE89D561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7200900"/>
          <a:ext cx="7478169" cy="100979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47</xdr:row>
      <xdr:rowOff>0</xdr:rowOff>
    </xdr:from>
    <xdr:to>
      <xdr:col>3</xdr:col>
      <xdr:colOff>619125</xdr:colOff>
      <xdr:row>51</xdr:row>
      <xdr:rowOff>200025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071E509-8B1E-982D-D271-ADE8D96A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" y="10144125"/>
          <a:ext cx="2114550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Y59"/>
  <sheetViews>
    <sheetView tabSelected="1" topLeftCell="A32" workbookViewId="0">
      <selection activeCell="M56" sqref="M56"/>
    </sheetView>
  </sheetViews>
  <sheetFormatPr defaultRowHeight="16.5" x14ac:dyDescent="0.3"/>
  <cols>
    <col min="3" max="3" width="11.875" customWidth="1"/>
    <col min="7" max="7" width="11.5" customWidth="1"/>
    <col min="13" max="13" width="17.75" customWidth="1"/>
  </cols>
  <sheetData>
    <row r="2" spans="1:103" x14ac:dyDescent="0.3">
      <c r="A2" s="1"/>
      <c r="B2" s="2"/>
      <c r="C2" s="2"/>
      <c r="D2" s="2"/>
      <c r="E2" s="2"/>
      <c r="F2" s="2"/>
      <c r="G2" s="2"/>
      <c r="H2" s="2"/>
      <c r="I2" s="2"/>
      <c r="J2" s="3"/>
    </row>
    <row r="3" spans="1:103" x14ac:dyDescent="0.3">
      <c r="A3" s="4"/>
      <c r="B3" t="s">
        <v>0</v>
      </c>
      <c r="J3" s="5"/>
    </row>
    <row r="4" spans="1:103" ht="38.25" x14ac:dyDescent="0.7">
      <c r="A4" s="4"/>
      <c r="B4" t="s">
        <v>1</v>
      </c>
      <c r="J4" s="5"/>
      <c r="T4" s="15" t="s">
        <v>44</v>
      </c>
    </row>
    <row r="5" spans="1:103" x14ac:dyDescent="0.3">
      <c r="A5" s="4"/>
      <c r="B5" t="s">
        <v>2</v>
      </c>
      <c r="J5" s="5"/>
    </row>
    <row r="6" spans="1:103" x14ac:dyDescent="0.3">
      <c r="A6" s="4"/>
      <c r="B6" t="s">
        <v>3</v>
      </c>
      <c r="J6" s="5"/>
    </row>
    <row r="7" spans="1:103" x14ac:dyDescent="0.3">
      <c r="A7" s="4"/>
      <c r="B7" s="6" t="s">
        <v>5</v>
      </c>
      <c r="J7" s="5"/>
    </row>
    <row r="8" spans="1:103" x14ac:dyDescent="0.3">
      <c r="A8" s="4"/>
      <c r="B8" s="6" t="s">
        <v>6</v>
      </c>
      <c r="G8" s="6" t="s">
        <v>7</v>
      </c>
      <c r="H8">
        <f>1/SQRT(81)</f>
        <v>0.1111111111111111</v>
      </c>
      <c r="J8" s="5"/>
    </row>
    <row r="9" spans="1:103" x14ac:dyDescent="0.3">
      <c r="A9" s="4"/>
      <c r="B9" t="s">
        <v>4</v>
      </c>
      <c r="J9" s="5"/>
    </row>
    <row r="10" spans="1:103" x14ac:dyDescent="0.3">
      <c r="A10" s="4"/>
      <c r="B10" s="6" t="s">
        <v>8</v>
      </c>
      <c r="J10" s="5"/>
    </row>
    <row r="11" spans="1:103" x14ac:dyDescent="0.3">
      <c r="A11" s="4"/>
      <c r="B11" t="s">
        <v>9</v>
      </c>
      <c r="F11" t="s">
        <v>10</v>
      </c>
      <c r="J11" s="5"/>
    </row>
    <row r="12" spans="1:103" x14ac:dyDescent="0.3">
      <c r="A12" s="4"/>
      <c r="J12" s="5"/>
    </row>
    <row r="13" spans="1:103" x14ac:dyDescent="0.3">
      <c r="A13" s="7"/>
      <c r="B13" s="8"/>
      <c r="C13" s="8"/>
      <c r="D13" s="8"/>
      <c r="E13" s="8"/>
      <c r="F13" s="8"/>
      <c r="G13" s="8"/>
      <c r="H13" s="8"/>
      <c r="I13" s="8"/>
      <c r="J13" s="9"/>
    </row>
    <row r="15" spans="1:103" x14ac:dyDescent="0.3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3"/>
    </row>
    <row r="16" spans="1:103" x14ac:dyDescent="0.3">
      <c r="A16" s="4"/>
      <c r="B16" t="s">
        <v>11</v>
      </c>
      <c r="CY16" s="5"/>
    </row>
    <row r="17" spans="1:103" x14ac:dyDescent="0.3">
      <c r="A17" s="4"/>
      <c r="B17" s="1">
        <v>7</v>
      </c>
      <c r="C17" s="2">
        <v>2</v>
      </c>
      <c r="D17" s="2">
        <v>3</v>
      </c>
      <c r="E17" s="2">
        <v>2</v>
      </c>
      <c r="F17" s="2">
        <v>3</v>
      </c>
      <c r="G17" s="2">
        <v>6</v>
      </c>
      <c r="H17" s="2">
        <v>4</v>
      </c>
      <c r="I17" s="2">
        <v>3</v>
      </c>
      <c r="J17" s="2">
        <v>4</v>
      </c>
      <c r="K17" s="2">
        <v>4</v>
      </c>
      <c r="L17" s="2">
        <v>5</v>
      </c>
      <c r="M17" s="2">
        <v>3</v>
      </c>
      <c r="N17" s="2">
        <v>5</v>
      </c>
      <c r="O17" s="2">
        <v>3</v>
      </c>
      <c r="P17" s="2">
        <v>4</v>
      </c>
      <c r="Q17" s="2">
        <v>5</v>
      </c>
      <c r="R17" s="2">
        <v>3</v>
      </c>
      <c r="S17" s="2">
        <v>0</v>
      </c>
      <c r="T17" s="2">
        <v>8</v>
      </c>
      <c r="U17" s="2">
        <v>4</v>
      </c>
      <c r="V17" s="2">
        <v>3</v>
      </c>
      <c r="W17" s="2">
        <v>2</v>
      </c>
      <c r="X17" s="2">
        <v>1</v>
      </c>
      <c r="Y17" s="2">
        <v>3</v>
      </c>
      <c r="Z17" s="2">
        <v>6</v>
      </c>
      <c r="AA17" s="2">
        <v>1</v>
      </c>
      <c r="AB17" s="2">
        <v>4</v>
      </c>
      <c r="AC17" s="2">
        <v>4</v>
      </c>
      <c r="AD17" s="2">
        <v>5</v>
      </c>
      <c r="AE17" s="2">
        <v>1</v>
      </c>
      <c r="AF17" s="2">
        <v>2</v>
      </c>
      <c r="AG17" s="2">
        <v>4</v>
      </c>
      <c r="AH17" s="2">
        <v>5</v>
      </c>
      <c r="AI17" s="2">
        <v>1</v>
      </c>
      <c r="AJ17" s="2">
        <v>5</v>
      </c>
      <c r="AK17" s="2">
        <v>1</v>
      </c>
      <c r="AL17" s="2">
        <v>2</v>
      </c>
      <c r="AM17" s="2">
        <v>2</v>
      </c>
      <c r="AN17" s="2">
        <v>2</v>
      </c>
      <c r="AO17" s="2">
        <v>4</v>
      </c>
      <c r="AP17" s="2">
        <v>3</v>
      </c>
      <c r="AQ17" s="2">
        <v>2</v>
      </c>
      <c r="AR17" s="2">
        <v>3</v>
      </c>
      <c r="AS17" s="2">
        <v>6</v>
      </c>
      <c r="AT17" s="2">
        <v>4</v>
      </c>
      <c r="AU17" s="2">
        <v>2</v>
      </c>
      <c r="AV17" s="2">
        <v>4</v>
      </c>
      <c r="AW17" s="2">
        <v>5</v>
      </c>
      <c r="AX17" s="2">
        <v>2</v>
      </c>
      <c r="AY17" s="2">
        <v>4</v>
      </c>
      <c r="AZ17" s="2">
        <v>3</v>
      </c>
      <c r="BA17" s="2">
        <v>2</v>
      </c>
      <c r="BB17" s="2">
        <v>1</v>
      </c>
      <c r="BC17" s="2">
        <v>4</v>
      </c>
      <c r="BD17" s="2">
        <v>1</v>
      </c>
      <c r="BE17" s="2">
        <v>4</v>
      </c>
      <c r="BF17" s="2">
        <v>5</v>
      </c>
      <c r="BG17" s="2">
        <v>4</v>
      </c>
      <c r="BH17" s="2">
        <v>3</v>
      </c>
      <c r="BI17" s="2">
        <v>5</v>
      </c>
      <c r="BJ17" s="2">
        <v>7</v>
      </c>
      <c r="BK17" s="2">
        <v>4</v>
      </c>
      <c r="BL17" s="2">
        <v>1</v>
      </c>
      <c r="BM17" s="2">
        <v>2</v>
      </c>
      <c r="BN17" s="2">
        <v>1</v>
      </c>
      <c r="BO17" s="2">
        <v>3</v>
      </c>
      <c r="BP17" s="2">
        <v>2</v>
      </c>
      <c r="BQ17" s="2">
        <v>4</v>
      </c>
      <c r="BR17" s="2">
        <v>2</v>
      </c>
      <c r="BS17" s="2">
        <v>2</v>
      </c>
      <c r="BT17" s="2">
        <v>0</v>
      </c>
      <c r="BU17" s="2">
        <v>2</v>
      </c>
      <c r="BV17" s="2">
        <v>5</v>
      </c>
      <c r="BW17" s="2">
        <v>2</v>
      </c>
      <c r="BX17" s="2">
        <v>5</v>
      </c>
      <c r="BY17" s="2">
        <v>2</v>
      </c>
      <c r="BZ17" s="2">
        <v>5</v>
      </c>
      <c r="CA17" s="2">
        <v>4</v>
      </c>
      <c r="CB17" s="2">
        <v>3</v>
      </c>
      <c r="CC17" s="2">
        <v>3</v>
      </c>
      <c r="CD17" s="2">
        <v>2</v>
      </c>
      <c r="CE17" s="2">
        <v>0</v>
      </c>
      <c r="CF17" s="2">
        <v>2</v>
      </c>
      <c r="CG17" s="2">
        <v>2</v>
      </c>
      <c r="CH17" s="2">
        <v>4</v>
      </c>
      <c r="CI17" s="2">
        <v>1</v>
      </c>
      <c r="CJ17" s="2">
        <v>7</v>
      </c>
      <c r="CK17" s="2">
        <v>2</v>
      </c>
      <c r="CL17" s="2">
        <v>7</v>
      </c>
      <c r="CM17" s="2">
        <v>6</v>
      </c>
      <c r="CN17" s="2">
        <v>5</v>
      </c>
      <c r="CO17" s="2">
        <v>3</v>
      </c>
      <c r="CP17" s="2">
        <v>3</v>
      </c>
      <c r="CQ17" s="2">
        <v>0</v>
      </c>
      <c r="CR17" s="2">
        <v>6</v>
      </c>
      <c r="CS17" s="2">
        <v>4</v>
      </c>
      <c r="CT17" s="2">
        <v>5</v>
      </c>
      <c r="CU17" s="2">
        <v>1</v>
      </c>
      <c r="CV17" s="2">
        <v>2</v>
      </c>
      <c r="CW17" s="3">
        <v>5</v>
      </c>
      <c r="CY17" s="5"/>
    </row>
    <row r="18" spans="1:103" x14ac:dyDescent="0.3">
      <c r="A18" s="4"/>
      <c r="B18" s="4">
        <v>5</v>
      </c>
      <c r="C18">
        <v>1</v>
      </c>
      <c r="D18">
        <v>4</v>
      </c>
      <c r="E18">
        <v>4</v>
      </c>
      <c r="F18">
        <v>4</v>
      </c>
      <c r="G18">
        <v>2</v>
      </c>
      <c r="H18">
        <v>3</v>
      </c>
      <c r="I18">
        <v>3</v>
      </c>
      <c r="J18">
        <v>4</v>
      </c>
      <c r="K18">
        <v>3</v>
      </c>
      <c r="L18">
        <v>4</v>
      </c>
      <c r="M18">
        <v>6</v>
      </c>
      <c r="N18">
        <v>2</v>
      </c>
      <c r="O18">
        <v>2</v>
      </c>
      <c r="P18">
        <v>2</v>
      </c>
      <c r="Q18">
        <v>5</v>
      </c>
      <c r="R18">
        <v>1</v>
      </c>
      <c r="S18">
        <v>3</v>
      </c>
      <c r="T18">
        <v>1</v>
      </c>
      <c r="U18">
        <v>2</v>
      </c>
      <c r="V18">
        <v>2</v>
      </c>
      <c r="W18">
        <v>2</v>
      </c>
      <c r="X18">
        <v>1</v>
      </c>
      <c r="Y18">
        <v>0</v>
      </c>
      <c r="Z18">
        <v>5</v>
      </c>
      <c r="AA18">
        <v>3</v>
      </c>
      <c r="AB18">
        <v>0</v>
      </c>
      <c r="AC18">
        <v>2</v>
      </c>
      <c r="AD18">
        <v>1</v>
      </c>
      <c r="AE18">
        <v>3</v>
      </c>
      <c r="AF18">
        <v>3</v>
      </c>
      <c r="AG18">
        <v>3</v>
      </c>
      <c r="AH18">
        <v>4</v>
      </c>
      <c r="AI18">
        <v>5</v>
      </c>
      <c r="AJ18">
        <v>3</v>
      </c>
      <c r="AK18">
        <v>1</v>
      </c>
      <c r="AL18">
        <v>4</v>
      </c>
      <c r="AM18">
        <v>2</v>
      </c>
      <c r="AN18">
        <v>2</v>
      </c>
      <c r="AO18">
        <v>3</v>
      </c>
      <c r="AP18">
        <v>4</v>
      </c>
      <c r="AQ18">
        <v>5</v>
      </c>
      <c r="AR18">
        <v>5</v>
      </c>
      <c r="AS18">
        <v>7</v>
      </c>
      <c r="AT18">
        <v>3</v>
      </c>
      <c r="AU18">
        <v>4</v>
      </c>
      <c r="AV18">
        <v>4</v>
      </c>
      <c r="AW18">
        <v>2</v>
      </c>
      <c r="AX18">
        <v>2</v>
      </c>
      <c r="AY18">
        <v>3</v>
      </c>
      <c r="AZ18">
        <v>2</v>
      </c>
      <c r="BA18">
        <v>2</v>
      </c>
      <c r="BB18">
        <v>6</v>
      </c>
      <c r="BC18">
        <v>4</v>
      </c>
      <c r="BD18">
        <v>6</v>
      </c>
      <c r="BE18">
        <v>4</v>
      </c>
      <c r="BF18">
        <v>3</v>
      </c>
      <c r="BG18">
        <v>5</v>
      </c>
      <c r="BH18">
        <v>3</v>
      </c>
      <c r="BI18">
        <v>2</v>
      </c>
      <c r="BJ18">
        <v>4</v>
      </c>
      <c r="BK18">
        <v>4</v>
      </c>
      <c r="BL18">
        <v>3</v>
      </c>
      <c r="BM18">
        <v>2</v>
      </c>
      <c r="BN18">
        <v>2</v>
      </c>
      <c r="BO18">
        <v>3</v>
      </c>
      <c r="BP18">
        <v>4</v>
      </c>
      <c r="BQ18">
        <v>0</v>
      </c>
      <c r="BR18">
        <v>6</v>
      </c>
      <c r="BS18">
        <v>2</v>
      </c>
      <c r="BT18">
        <v>1</v>
      </c>
      <c r="BU18">
        <v>2</v>
      </c>
      <c r="BV18">
        <v>2</v>
      </c>
      <c r="BW18">
        <v>5</v>
      </c>
      <c r="BX18">
        <v>1</v>
      </c>
      <c r="BY18">
        <v>4</v>
      </c>
      <c r="BZ18">
        <v>1</v>
      </c>
      <c r="CA18">
        <v>5</v>
      </c>
      <c r="CB18">
        <v>1</v>
      </c>
      <c r="CC18">
        <v>6</v>
      </c>
      <c r="CD18">
        <v>3</v>
      </c>
      <c r="CE18">
        <v>2</v>
      </c>
      <c r="CF18">
        <v>1</v>
      </c>
      <c r="CG18">
        <v>3</v>
      </c>
      <c r="CH18">
        <v>0</v>
      </c>
      <c r="CI18">
        <v>4</v>
      </c>
      <c r="CJ18">
        <v>7</v>
      </c>
      <c r="CK18">
        <v>1</v>
      </c>
      <c r="CL18">
        <v>2</v>
      </c>
      <c r="CM18">
        <v>5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3</v>
      </c>
      <c r="CT18">
        <v>5</v>
      </c>
      <c r="CU18">
        <v>6</v>
      </c>
      <c r="CV18">
        <v>2</v>
      </c>
      <c r="CW18" s="5">
        <v>6</v>
      </c>
      <c r="CY18" s="5"/>
    </row>
    <row r="19" spans="1:103" x14ac:dyDescent="0.3">
      <c r="A19" s="4"/>
      <c r="B19" s="4">
        <v>4</v>
      </c>
      <c r="C19">
        <v>5</v>
      </c>
      <c r="D19">
        <v>4</v>
      </c>
      <c r="E19">
        <v>4</v>
      </c>
      <c r="F19">
        <v>2</v>
      </c>
      <c r="G19">
        <v>4</v>
      </c>
      <c r="H19">
        <v>0</v>
      </c>
      <c r="I19">
        <v>4</v>
      </c>
      <c r="J19">
        <v>0</v>
      </c>
      <c r="K19">
        <v>4</v>
      </c>
      <c r="L19">
        <v>1</v>
      </c>
      <c r="M19">
        <v>3</v>
      </c>
      <c r="N19">
        <v>4</v>
      </c>
      <c r="O19">
        <v>1</v>
      </c>
      <c r="P19">
        <v>3</v>
      </c>
      <c r="Q19">
        <v>1</v>
      </c>
      <c r="R19">
        <v>4</v>
      </c>
      <c r="S19">
        <v>2</v>
      </c>
      <c r="T19">
        <v>3</v>
      </c>
      <c r="U19">
        <v>5</v>
      </c>
      <c r="V19">
        <v>4</v>
      </c>
      <c r="W19">
        <v>7</v>
      </c>
      <c r="X19">
        <v>5</v>
      </c>
      <c r="Y19">
        <v>3</v>
      </c>
      <c r="Z19">
        <v>3</v>
      </c>
      <c r="AA19">
        <v>4</v>
      </c>
      <c r="AB19">
        <v>1</v>
      </c>
      <c r="AC19">
        <v>2</v>
      </c>
      <c r="AD19">
        <v>2</v>
      </c>
      <c r="AE19">
        <v>4</v>
      </c>
      <c r="AF19">
        <v>5</v>
      </c>
      <c r="AG19">
        <v>2</v>
      </c>
      <c r="AH19">
        <v>1</v>
      </c>
      <c r="AI19">
        <v>4</v>
      </c>
      <c r="AJ19">
        <v>2</v>
      </c>
      <c r="AK19">
        <v>3</v>
      </c>
      <c r="AL19">
        <v>4</v>
      </c>
      <c r="AM19">
        <v>2</v>
      </c>
      <c r="AN19">
        <v>2</v>
      </c>
      <c r="AO19">
        <v>1</v>
      </c>
      <c r="AP19">
        <v>0</v>
      </c>
      <c r="AQ19">
        <v>2</v>
      </c>
      <c r="AR19">
        <v>1</v>
      </c>
      <c r="AS19">
        <v>0</v>
      </c>
      <c r="AT19">
        <v>6</v>
      </c>
      <c r="AU19">
        <v>3</v>
      </c>
      <c r="AV19">
        <v>3</v>
      </c>
      <c r="AW19">
        <v>4</v>
      </c>
      <c r="AX19">
        <v>6</v>
      </c>
      <c r="AY19">
        <v>1</v>
      </c>
      <c r="AZ19">
        <v>1</v>
      </c>
      <c r="BA19">
        <v>0</v>
      </c>
      <c r="BB19">
        <v>6</v>
      </c>
      <c r="BC19">
        <v>5</v>
      </c>
      <c r="BD19">
        <v>4</v>
      </c>
      <c r="BE19">
        <v>2</v>
      </c>
      <c r="BF19">
        <v>2</v>
      </c>
      <c r="BG19">
        <v>3</v>
      </c>
      <c r="BH19">
        <v>5</v>
      </c>
      <c r="BI19">
        <v>2</v>
      </c>
      <c r="BJ19">
        <v>3</v>
      </c>
      <c r="BK19">
        <v>3</v>
      </c>
      <c r="BL19">
        <v>1</v>
      </c>
      <c r="BM19">
        <v>2</v>
      </c>
      <c r="BN19">
        <v>4</v>
      </c>
      <c r="BO19">
        <v>3</v>
      </c>
      <c r="BP19">
        <v>3</v>
      </c>
      <c r="BQ19">
        <v>2</v>
      </c>
      <c r="BR19">
        <v>3</v>
      </c>
      <c r="BS19">
        <v>2</v>
      </c>
      <c r="BT19">
        <v>4</v>
      </c>
      <c r="BU19">
        <v>2</v>
      </c>
      <c r="BV19">
        <v>4</v>
      </c>
      <c r="BW19">
        <v>4</v>
      </c>
      <c r="BX19">
        <v>0</v>
      </c>
      <c r="BY19">
        <v>6</v>
      </c>
      <c r="BZ19">
        <v>2</v>
      </c>
      <c r="CA19">
        <v>3</v>
      </c>
      <c r="CB19">
        <v>4</v>
      </c>
      <c r="CC19">
        <v>3</v>
      </c>
      <c r="CD19">
        <v>6</v>
      </c>
      <c r="CE19">
        <v>2</v>
      </c>
      <c r="CF19">
        <v>5</v>
      </c>
      <c r="CG19">
        <v>2</v>
      </c>
      <c r="CH19">
        <v>4</v>
      </c>
      <c r="CI19">
        <v>2</v>
      </c>
      <c r="CJ19">
        <v>4</v>
      </c>
      <c r="CK19">
        <v>3</v>
      </c>
      <c r="CL19">
        <v>2</v>
      </c>
      <c r="CM19">
        <v>5</v>
      </c>
      <c r="CN19">
        <v>4</v>
      </c>
      <c r="CO19">
        <v>2</v>
      </c>
      <c r="CP19">
        <v>4</v>
      </c>
      <c r="CQ19">
        <v>1</v>
      </c>
      <c r="CR19">
        <v>6</v>
      </c>
      <c r="CS19">
        <v>1</v>
      </c>
      <c r="CT19">
        <v>2</v>
      </c>
      <c r="CU19">
        <v>4</v>
      </c>
      <c r="CV19">
        <v>2</v>
      </c>
      <c r="CW19" s="5">
        <v>4</v>
      </c>
      <c r="CY19" s="5"/>
    </row>
    <row r="20" spans="1:103" x14ac:dyDescent="0.3">
      <c r="A20" s="4"/>
      <c r="B20" s="4">
        <v>4</v>
      </c>
      <c r="C20">
        <v>1</v>
      </c>
      <c r="D20">
        <v>4</v>
      </c>
      <c r="E20">
        <v>2</v>
      </c>
      <c r="F20">
        <v>3</v>
      </c>
      <c r="G20">
        <v>2</v>
      </c>
      <c r="H20">
        <v>2</v>
      </c>
      <c r="I20">
        <v>4</v>
      </c>
      <c r="J20">
        <v>3</v>
      </c>
      <c r="K20">
        <v>5</v>
      </c>
      <c r="L20">
        <v>3</v>
      </c>
      <c r="M20">
        <v>1</v>
      </c>
      <c r="N20">
        <v>3</v>
      </c>
      <c r="O20">
        <v>1</v>
      </c>
      <c r="P20">
        <v>1</v>
      </c>
      <c r="Q20">
        <v>2</v>
      </c>
      <c r="R20">
        <v>5</v>
      </c>
      <c r="S20">
        <v>2</v>
      </c>
      <c r="T20">
        <v>3</v>
      </c>
      <c r="U20">
        <v>2</v>
      </c>
      <c r="V20">
        <v>1</v>
      </c>
      <c r="W20">
        <v>3</v>
      </c>
      <c r="X20">
        <v>4</v>
      </c>
      <c r="Y20">
        <v>4</v>
      </c>
      <c r="Z20">
        <v>0</v>
      </c>
      <c r="AA20">
        <v>2</v>
      </c>
      <c r="AB20">
        <v>5</v>
      </c>
      <c r="AC20">
        <v>2</v>
      </c>
      <c r="AD20">
        <v>2</v>
      </c>
      <c r="AE20">
        <v>3</v>
      </c>
      <c r="AF20">
        <v>3</v>
      </c>
      <c r="AG20">
        <v>6</v>
      </c>
      <c r="AH20">
        <v>4</v>
      </c>
      <c r="AI20">
        <v>3</v>
      </c>
      <c r="AJ20">
        <v>3</v>
      </c>
      <c r="AK20">
        <v>1</v>
      </c>
      <c r="AL20">
        <v>0</v>
      </c>
      <c r="AM20">
        <v>2</v>
      </c>
      <c r="AN20">
        <v>1</v>
      </c>
      <c r="AO20">
        <v>3</v>
      </c>
      <c r="AP20">
        <v>4</v>
      </c>
      <c r="AQ20">
        <v>3</v>
      </c>
      <c r="AR20">
        <v>8</v>
      </c>
      <c r="AS20">
        <v>5</v>
      </c>
      <c r="AT20">
        <v>2</v>
      </c>
      <c r="AU20">
        <v>5</v>
      </c>
      <c r="AV20">
        <v>2</v>
      </c>
      <c r="AW20">
        <v>3</v>
      </c>
      <c r="AX20">
        <v>2</v>
      </c>
      <c r="AY20">
        <v>2</v>
      </c>
      <c r="AZ20">
        <v>4</v>
      </c>
      <c r="BA20">
        <v>5</v>
      </c>
      <c r="BB20">
        <v>6</v>
      </c>
      <c r="BC20">
        <v>3</v>
      </c>
      <c r="BD20">
        <v>3</v>
      </c>
      <c r="BE20">
        <v>3</v>
      </c>
      <c r="BF20">
        <v>6</v>
      </c>
      <c r="BG20">
        <v>3</v>
      </c>
      <c r="BH20">
        <v>5</v>
      </c>
      <c r="BI20">
        <v>1</v>
      </c>
      <c r="BJ20">
        <v>2</v>
      </c>
      <c r="BK20">
        <v>1</v>
      </c>
      <c r="BL20">
        <v>3</v>
      </c>
      <c r="BM20">
        <v>6</v>
      </c>
      <c r="BN20">
        <v>7</v>
      </c>
      <c r="BO20">
        <v>5</v>
      </c>
      <c r="BP20">
        <v>2</v>
      </c>
      <c r="BQ20">
        <v>6</v>
      </c>
      <c r="BR20">
        <v>5</v>
      </c>
      <c r="BS20">
        <v>1</v>
      </c>
      <c r="BT20">
        <v>4</v>
      </c>
      <c r="BU20">
        <v>3</v>
      </c>
      <c r="BV20">
        <v>2</v>
      </c>
      <c r="BW20">
        <v>5</v>
      </c>
      <c r="BX20">
        <v>3</v>
      </c>
      <c r="BY20">
        <v>5</v>
      </c>
      <c r="BZ20">
        <v>3</v>
      </c>
      <c r="CA20">
        <v>4</v>
      </c>
      <c r="CB20">
        <v>3</v>
      </c>
      <c r="CC20">
        <v>2</v>
      </c>
      <c r="CD20">
        <v>0</v>
      </c>
      <c r="CE20">
        <v>0</v>
      </c>
      <c r="CF20">
        <v>0</v>
      </c>
      <c r="CG20">
        <v>1</v>
      </c>
      <c r="CH20">
        <v>5</v>
      </c>
      <c r="CI20">
        <v>0</v>
      </c>
      <c r="CJ20">
        <v>4</v>
      </c>
      <c r="CK20">
        <v>6</v>
      </c>
      <c r="CL20">
        <v>3</v>
      </c>
      <c r="CM20">
        <v>2</v>
      </c>
      <c r="CN20">
        <v>5</v>
      </c>
      <c r="CO20">
        <v>1</v>
      </c>
      <c r="CP20">
        <v>1</v>
      </c>
      <c r="CQ20">
        <v>4</v>
      </c>
      <c r="CR20">
        <v>5</v>
      </c>
      <c r="CS20">
        <v>4</v>
      </c>
      <c r="CT20">
        <v>4</v>
      </c>
      <c r="CU20">
        <v>2</v>
      </c>
      <c r="CV20">
        <v>3</v>
      </c>
      <c r="CW20" s="5">
        <v>2</v>
      </c>
      <c r="CY20" s="5"/>
    </row>
    <row r="21" spans="1:103" x14ac:dyDescent="0.3">
      <c r="A21" s="4"/>
      <c r="B21" s="4">
        <v>1</v>
      </c>
      <c r="C21">
        <v>2</v>
      </c>
      <c r="D21">
        <v>1</v>
      </c>
      <c r="E21">
        <v>4</v>
      </c>
      <c r="F21">
        <v>3</v>
      </c>
      <c r="G21">
        <v>2</v>
      </c>
      <c r="H21">
        <v>3</v>
      </c>
      <c r="I21">
        <v>8</v>
      </c>
      <c r="J21">
        <v>4</v>
      </c>
      <c r="K21">
        <v>3</v>
      </c>
      <c r="L21">
        <v>2</v>
      </c>
      <c r="M21">
        <v>4</v>
      </c>
      <c r="N21">
        <v>3</v>
      </c>
      <c r="O21">
        <v>0</v>
      </c>
      <c r="P21">
        <v>2</v>
      </c>
      <c r="Q21">
        <v>3</v>
      </c>
      <c r="R21">
        <v>2</v>
      </c>
      <c r="S21">
        <v>1</v>
      </c>
      <c r="T21">
        <v>8</v>
      </c>
      <c r="U21">
        <v>0</v>
      </c>
      <c r="V21">
        <v>5</v>
      </c>
      <c r="W21">
        <v>1</v>
      </c>
      <c r="X21">
        <v>4</v>
      </c>
      <c r="Y21">
        <v>6</v>
      </c>
      <c r="Z21">
        <v>2</v>
      </c>
      <c r="AA21">
        <v>5</v>
      </c>
      <c r="AB21">
        <v>3</v>
      </c>
      <c r="AC21">
        <v>2</v>
      </c>
      <c r="AD21">
        <v>3</v>
      </c>
      <c r="AE21">
        <v>3</v>
      </c>
      <c r="AF21">
        <v>7</v>
      </c>
      <c r="AG21">
        <v>4</v>
      </c>
      <c r="AH21">
        <v>3</v>
      </c>
      <c r="AI21">
        <v>4</v>
      </c>
      <c r="AJ21">
        <v>2</v>
      </c>
      <c r="AK21">
        <v>4</v>
      </c>
      <c r="AL21">
        <v>1</v>
      </c>
      <c r="AM21">
        <v>7</v>
      </c>
      <c r="AN21">
        <v>5</v>
      </c>
      <c r="AO21">
        <v>3</v>
      </c>
      <c r="AP21">
        <v>4</v>
      </c>
      <c r="AQ21">
        <v>2</v>
      </c>
      <c r="AR21">
        <v>1</v>
      </c>
      <c r="AS21">
        <v>3</v>
      </c>
      <c r="AT21">
        <v>2</v>
      </c>
      <c r="AU21">
        <v>3</v>
      </c>
      <c r="AV21">
        <v>3</v>
      </c>
      <c r="AW21">
        <v>5</v>
      </c>
      <c r="AX21">
        <v>1</v>
      </c>
      <c r="AY21">
        <v>1</v>
      </c>
      <c r="AZ21">
        <v>4</v>
      </c>
      <c r="BA21">
        <v>4</v>
      </c>
      <c r="BB21">
        <v>3</v>
      </c>
      <c r="BC21">
        <v>2</v>
      </c>
      <c r="BD21">
        <v>6</v>
      </c>
      <c r="BE21">
        <v>2</v>
      </c>
      <c r="BF21">
        <v>0</v>
      </c>
      <c r="BG21">
        <v>2</v>
      </c>
      <c r="BH21">
        <v>4</v>
      </c>
      <c r="BI21">
        <v>5</v>
      </c>
      <c r="BJ21">
        <v>1</v>
      </c>
      <c r="BK21">
        <v>5</v>
      </c>
      <c r="BL21">
        <v>3</v>
      </c>
      <c r="BM21">
        <v>1</v>
      </c>
      <c r="BN21">
        <v>4</v>
      </c>
      <c r="BO21">
        <v>5</v>
      </c>
      <c r="BP21">
        <v>3</v>
      </c>
      <c r="BQ21">
        <v>5</v>
      </c>
      <c r="BR21">
        <v>0</v>
      </c>
      <c r="BS21">
        <v>3</v>
      </c>
      <c r="BT21">
        <v>0</v>
      </c>
      <c r="BU21">
        <v>3</v>
      </c>
      <c r="BV21">
        <v>2</v>
      </c>
      <c r="BW21">
        <v>1</v>
      </c>
      <c r="BX21">
        <v>4</v>
      </c>
      <c r="BY21">
        <v>4</v>
      </c>
      <c r="BZ21">
        <v>2</v>
      </c>
      <c r="CA21">
        <v>2</v>
      </c>
      <c r="CB21">
        <v>4</v>
      </c>
      <c r="CC21">
        <v>3</v>
      </c>
      <c r="CD21">
        <v>4</v>
      </c>
      <c r="CE21">
        <v>3</v>
      </c>
      <c r="CF21">
        <v>4</v>
      </c>
      <c r="CG21">
        <v>4</v>
      </c>
      <c r="CH21">
        <v>2</v>
      </c>
      <c r="CI21">
        <v>3</v>
      </c>
      <c r="CJ21">
        <v>5</v>
      </c>
      <c r="CK21">
        <v>2</v>
      </c>
      <c r="CL21">
        <v>0</v>
      </c>
      <c r="CM21">
        <v>1</v>
      </c>
      <c r="CN21">
        <v>2</v>
      </c>
      <c r="CO21">
        <v>2</v>
      </c>
      <c r="CP21">
        <v>2</v>
      </c>
      <c r="CQ21">
        <v>3</v>
      </c>
      <c r="CR21">
        <v>1</v>
      </c>
      <c r="CS21">
        <v>5</v>
      </c>
      <c r="CT21">
        <v>2</v>
      </c>
      <c r="CU21">
        <v>0</v>
      </c>
      <c r="CV21">
        <v>4</v>
      </c>
      <c r="CW21" s="5">
        <v>3</v>
      </c>
      <c r="CY21" s="5"/>
    </row>
    <row r="22" spans="1:103" x14ac:dyDescent="0.3">
      <c r="A22" s="4"/>
      <c r="B22" s="4">
        <v>3</v>
      </c>
      <c r="C22">
        <v>3</v>
      </c>
      <c r="D22">
        <v>1</v>
      </c>
      <c r="E22">
        <v>8</v>
      </c>
      <c r="F22">
        <v>3</v>
      </c>
      <c r="G22">
        <v>6</v>
      </c>
      <c r="H22">
        <v>0</v>
      </c>
      <c r="I22">
        <v>4</v>
      </c>
      <c r="J22">
        <v>3</v>
      </c>
      <c r="K22">
        <v>1</v>
      </c>
      <c r="L22">
        <v>3</v>
      </c>
      <c r="M22">
        <v>3</v>
      </c>
      <c r="N22">
        <v>7</v>
      </c>
      <c r="O22">
        <v>3</v>
      </c>
      <c r="P22">
        <v>3</v>
      </c>
      <c r="Q22">
        <v>1</v>
      </c>
      <c r="R22">
        <v>2</v>
      </c>
      <c r="S22">
        <v>5</v>
      </c>
      <c r="T22">
        <v>6</v>
      </c>
      <c r="U22">
        <v>3</v>
      </c>
      <c r="V22">
        <v>1</v>
      </c>
      <c r="W22">
        <v>1</v>
      </c>
      <c r="X22">
        <v>2</v>
      </c>
      <c r="Y22">
        <v>2</v>
      </c>
      <c r="Z22">
        <v>0</v>
      </c>
      <c r="AA22">
        <v>7</v>
      </c>
      <c r="AB22">
        <v>2</v>
      </c>
      <c r="AC22">
        <v>4</v>
      </c>
      <c r="AD22">
        <v>5</v>
      </c>
      <c r="AE22">
        <v>2</v>
      </c>
      <c r="AF22">
        <v>2</v>
      </c>
      <c r="AG22">
        <v>4</v>
      </c>
      <c r="AH22">
        <v>2</v>
      </c>
      <c r="AI22">
        <v>4</v>
      </c>
      <c r="AJ22">
        <v>4</v>
      </c>
      <c r="AK22">
        <v>3</v>
      </c>
      <c r="AL22">
        <v>3</v>
      </c>
      <c r="AM22">
        <v>3</v>
      </c>
      <c r="AN22">
        <v>2</v>
      </c>
      <c r="AO22">
        <v>3</v>
      </c>
      <c r="AP22">
        <v>6</v>
      </c>
      <c r="AQ22">
        <v>1</v>
      </c>
      <c r="AR22">
        <v>4</v>
      </c>
      <c r="AS22">
        <v>8</v>
      </c>
      <c r="AT22">
        <v>5</v>
      </c>
      <c r="AU22">
        <v>2</v>
      </c>
      <c r="AV22">
        <v>5</v>
      </c>
      <c r="AW22">
        <v>3</v>
      </c>
      <c r="AX22">
        <v>0</v>
      </c>
      <c r="AY22">
        <v>4</v>
      </c>
      <c r="AZ22">
        <v>1</v>
      </c>
      <c r="BA22">
        <v>5</v>
      </c>
      <c r="BB22">
        <v>3</v>
      </c>
      <c r="BC22">
        <v>1</v>
      </c>
      <c r="BD22">
        <v>3</v>
      </c>
      <c r="BE22">
        <v>1</v>
      </c>
      <c r="BF22">
        <v>3</v>
      </c>
      <c r="BG22">
        <v>1</v>
      </c>
      <c r="BH22">
        <v>2</v>
      </c>
      <c r="BI22">
        <v>5</v>
      </c>
      <c r="BJ22">
        <v>3</v>
      </c>
      <c r="BK22">
        <v>5</v>
      </c>
      <c r="BL22">
        <v>6</v>
      </c>
      <c r="BM22">
        <v>3</v>
      </c>
      <c r="BN22">
        <v>2</v>
      </c>
      <c r="BO22">
        <v>5</v>
      </c>
      <c r="BP22">
        <v>1</v>
      </c>
      <c r="BQ22">
        <v>4</v>
      </c>
      <c r="BR22">
        <v>5</v>
      </c>
      <c r="BS22">
        <v>1</v>
      </c>
      <c r="BT22">
        <v>5</v>
      </c>
      <c r="BU22">
        <v>3</v>
      </c>
      <c r="BV22">
        <v>3</v>
      </c>
      <c r="BW22">
        <v>2</v>
      </c>
      <c r="BX22">
        <v>3</v>
      </c>
      <c r="BY22">
        <v>1</v>
      </c>
      <c r="BZ22">
        <v>4</v>
      </c>
      <c r="CA22">
        <v>3</v>
      </c>
      <c r="CB22">
        <v>3</v>
      </c>
      <c r="CC22">
        <v>6</v>
      </c>
      <c r="CD22">
        <v>2</v>
      </c>
      <c r="CE22">
        <v>3</v>
      </c>
      <c r="CF22">
        <v>2</v>
      </c>
      <c r="CG22">
        <v>3</v>
      </c>
      <c r="CH22">
        <v>2</v>
      </c>
      <c r="CI22">
        <v>0</v>
      </c>
      <c r="CJ22">
        <v>4</v>
      </c>
      <c r="CK22">
        <v>4</v>
      </c>
      <c r="CL22">
        <v>0</v>
      </c>
      <c r="CM22">
        <v>3</v>
      </c>
      <c r="CN22">
        <v>2</v>
      </c>
      <c r="CO22">
        <v>4</v>
      </c>
      <c r="CP22">
        <v>3</v>
      </c>
      <c r="CQ22">
        <v>4</v>
      </c>
      <c r="CR22">
        <v>1</v>
      </c>
      <c r="CS22">
        <v>3</v>
      </c>
      <c r="CT22">
        <v>4</v>
      </c>
      <c r="CU22">
        <v>4</v>
      </c>
      <c r="CV22">
        <v>1</v>
      </c>
      <c r="CW22" s="5">
        <v>0</v>
      </c>
      <c r="CY22" s="5"/>
    </row>
    <row r="23" spans="1:103" x14ac:dyDescent="0.3">
      <c r="A23" s="4"/>
      <c r="B23" s="4">
        <v>1</v>
      </c>
      <c r="C23">
        <v>7</v>
      </c>
      <c r="D23">
        <v>0</v>
      </c>
      <c r="E23">
        <v>5</v>
      </c>
      <c r="F23">
        <v>6</v>
      </c>
      <c r="G23">
        <v>8</v>
      </c>
      <c r="H23">
        <v>4</v>
      </c>
      <c r="I23">
        <v>0</v>
      </c>
      <c r="J23">
        <v>2</v>
      </c>
      <c r="K23">
        <v>1</v>
      </c>
      <c r="L23">
        <v>3</v>
      </c>
      <c r="M23">
        <v>2</v>
      </c>
      <c r="N23">
        <v>4</v>
      </c>
      <c r="O23">
        <v>5</v>
      </c>
      <c r="P23">
        <v>3</v>
      </c>
      <c r="Q23">
        <v>5</v>
      </c>
      <c r="R23">
        <v>1</v>
      </c>
      <c r="S23">
        <v>2</v>
      </c>
      <c r="T23">
        <v>4</v>
      </c>
      <c r="U23">
        <v>2</v>
      </c>
      <c r="V23">
        <v>3</v>
      </c>
      <c r="W23">
        <v>4</v>
      </c>
      <c r="X23">
        <v>1</v>
      </c>
      <c r="Y23">
        <v>2</v>
      </c>
      <c r="Z23">
        <v>8</v>
      </c>
      <c r="AA23">
        <v>4</v>
      </c>
      <c r="AB23">
        <v>2</v>
      </c>
      <c r="AC23">
        <v>2</v>
      </c>
      <c r="AD23">
        <v>3</v>
      </c>
      <c r="AE23">
        <v>2</v>
      </c>
      <c r="AF23">
        <v>4</v>
      </c>
      <c r="AG23">
        <v>5</v>
      </c>
      <c r="AH23">
        <v>7</v>
      </c>
      <c r="AI23">
        <v>1</v>
      </c>
      <c r="AJ23">
        <v>6</v>
      </c>
      <c r="AK23">
        <v>1</v>
      </c>
      <c r="AL23">
        <v>1</v>
      </c>
      <c r="AM23">
        <v>3</v>
      </c>
      <c r="AN23">
        <v>0</v>
      </c>
      <c r="AO23">
        <v>4</v>
      </c>
      <c r="AP23">
        <v>5</v>
      </c>
      <c r="AQ23">
        <v>5</v>
      </c>
      <c r="AR23">
        <v>3</v>
      </c>
      <c r="AS23">
        <v>3</v>
      </c>
      <c r="AT23">
        <v>1</v>
      </c>
      <c r="AU23">
        <v>4</v>
      </c>
      <c r="AV23">
        <v>5</v>
      </c>
      <c r="AW23">
        <v>2</v>
      </c>
      <c r="AX23">
        <v>3</v>
      </c>
      <c r="AY23">
        <v>2</v>
      </c>
      <c r="AZ23">
        <v>5</v>
      </c>
      <c r="BA23">
        <v>5</v>
      </c>
      <c r="BB23">
        <v>6</v>
      </c>
      <c r="BC23">
        <v>2</v>
      </c>
      <c r="BD23">
        <v>7</v>
      </c>
      <c r="BE23">
        <v>3</v>
      </c>
      <c r="BF23">
        <v>5</v>
      </c>
      <c r="BG23">
        <v>3</v>
      </c>
      <c r="BH23">
        <v>3</v>
      </c>
      <c r="BI23">
        <v>3</v>
      </c>
      <c r="BJ23">
        <v>1</v>
      </c>
      <c r="BK23">
        <v>3</v>
      </c>
      <c r="BL23">
        <v>1</v>
      </c>
      <c r="BM23">
        <v>3</v>
      </c>
      <c r="BN23">
        <v>1</v>
      </c>
      <c r="BO23">
        <v>3</v>
      </c>
      <c r="BP23">
        <v>4</v>
      </c>
      <c r="BQ23">
        <v>3</v>
      </c>
      <c r="BR23">
        <v>2</v>
      </c>
      <c r="BS23">
        <v>5</v>
      </c>
      <c r="BT23">
        <v>3</v>
      </c>
      <c r="BU23">
        <v>3</v>
      </c>
      <c r="BV23">
        <v>3</v>
      </c>
      <c r="BW23">
        <v>3</v>
      </c>
      <c r="BX23">
        <v>4</v>
      </c>
      <c r="BY23">
        <v>5</v>
      </c>
      <c r="BZ23">
        <v>3</v>
      </c>
      <c r="CA23">
        <v>3</v>
      </c>
      <c r="CB23">
        <v>3</v>
      </c>
      <c r="CC23">
        <v>5</v>
      </c>
      <c r="CD23">
        <v>6</v>
      </c>
      <c r="CE23">
        <v>1</v>
      </c>
      <c r="CF23">
        <v>3</v>
      </c>
      <c r="CG23">
        <v>3</v>
      </c>
      <c r="CH23">
        <v>4</v>
      </c>
      <c r="CI23">
        <v>5</v>
      </c>
      <c r="CJ23">
        <v>0</v>
      </c>
      <c r="CK23">
        <v>2</v>
      </c>
      <c r="CL23">
        <v>3</v>
      </c>
      <c r="CM23">
        <v>0</v>
      </c>
      <c r="CN23">
        <v>2</v>
      </c>
      <c r="CO23">
        <v>2</v>
      </c>
      <c r="CP23">
        <v>2</v>
      </c>
      <c r="CQ23">
        <v>2</v>
      </c>
      <c r="CR23">
        <v>3</v>
      </c>
      <c r="CS23">
        <v>1</v>
      </c>
      <c r="CT23">
        <v>2</v>
      </c>
      <c r="CU23">
        <v>5</v>
      </c>
      <c r="CV23">
        <v>4</v>
      </c>
      <c r="CW23" s="5">
        <v>5</v>
      </c>
      <c r="CY23" s="5"/>
    </row>
    <row r="24" spans="1:103" x14ac:dyDescent="0.3">
      <c r="A24" s="4"/>
      <c r="B24" s="4">
        <v>1</v>
      </c>
      <c r="C24">
        <v>3</v>
      </c>
      <c r="D24">
        <v>3</v>
      </c>
      <c r="E24">
        <v>4</v>
      </c>
      <c r="F24">
        <v>4</v>
      </c>
      <c r="G24">
        <v>4</v>
      </c>
      <c r="H24">
        <v>1</v>
      </c>
      <c r="I24">
        <v>4</v>
      </c>
      <c r="J24">
        <v>0</v>
      </c>
      <c r="K24">
        <v>2</v>
      </c>
      <c r="L24">
        <v>1</v>
      </c>
      <c r="M24">
        <v>2</v>
      </c>
      <c r="N24">
        <v>4</v>
      </c>
      <c r="O24">
        <v>3</v>
      </c>
      <c r="P24">
        <v>1</v>
      </c>
      <c r="Q24">
        <v>5</v>
      </c>
      <c r="R24">
        <v>2</v>
      </c>
      <c r="S24">
        <v>3</v>
      </c>
      <c r="T24">
        <v>5</v>
      </c>
      <c r="U24">
        <v>2</v>
      </c>
      <c r="V24">
        <v>0</v>
      </c>
      <c r="W24">
        <v>1</v>
      </c>
      <c r="X24">
        <v>2</v>
      </c>
      <c r="Y24">
        <v>3</v>
      </c>
      <c r="Z24">
        <v>4</v>
      </c>
      <c r="AA24">
        <v>5</v>
      </c>
      <c r="AB24">
        <v>1</v>
      </c>
      <c r="AC24">
        <v>0</v>
      </c>
      <c r="AD24">
        <v>1</v>
      </c>
      <c r="AE24">
        <v>2</v>
      </c>
      <c r="AF24">
        <v>1</v>
      </c>
      <c r="AG24">
        <v>5</v>
      </c>
      <c r="AH24">
        <v>3</v>
      </c>
      <c r="AI24">
        <v>4</v>
      </c>
      <c r="AJ24">
        <v>8</v>
      </c>
      <c r="AK24">
        <v>2</v>
      </c>
      <c r="AL24">
        <v>3</v>
      </c>
      <c r="AM24">
        <v>4</v>
      </c>
      <c r="AN24">
        <v>2</v>
      </c>
      <c r="AO24">
        <v>2</v>
      </c>
      <c r="AP24">
        <v>4</v>
      </c>
      <c r="AQ24">
        <v>3</v>
      </c>
      <c r="AR24">
        <v>1</v>
      </c>
      <c r="AS24">
        <v>3</v>
      </c>
      <c r="AT24">
        <v>1</v>
      </c>
      <c r="AU24">
        <v>3</v>
      </c>
      <c r="AV24">
        <v>1</v>
      </c>
      <c r="AW24">
        <v>2</v>
      </c>
      <c r="AX24">
        <v>2</v>
      </c>
      <c r="AY24">
        <v>2</v>
      </c>
      <c r="AZ24">
        <v>3</v>
      </c>
      <c r="BA24">
        <v>2</v>
      </c>
      <c r="BB24">
        <v>5</v>
      </c>
      <c r="BC24">
        <v>3</v>
      </c>
      <c r="BD24">
        <v>3</v>
      </c>
      <c r="BE24">
        <v>3</v>
      </c>
      <c r="BF24">
        <v>1</v>
      </c>
      <c r="BG24">
        <v>4</v>
      </c>
      <c r="BH24">
        <v>1</v>
      </c>
      <c r="BI24">
        <v>4</v>
      </c>
      <c r="BJ24">
        <v>2</v>
      </c>
      <c r="BK24">
        <v>5</v>
      </c>
      <c r="BL24">
        <v>4</v>
      </c>
      <c r="BM24">
        <v>2</v>
      </c>
      <c r="BN24">
        <v>4</v>
      </c>
      <c r="BO24">
        <v>3</v>
      </c>
      <c r="BP24">
        <v>4</v>
      </c>
      <c r="BQ24">
        <v>2</v>
      </c>
      <c r="BR24">
        <v>7</v>
      </c>
      <c r="BS24">
        <v>2</v>
      </c>
      <c r="BT24">
        <v>3</v>
      </c>
      <c r="BU24">
        <v>5</v>
      </c>
      <c r="BV24">
        <v>2</v>
      </c>
      <c r="BW24">
        <v>3</v>
      </c>
      <c r="BX24">
        <v>4</v>
      </c>
      <c r="BY24">
        <v>5</v>
      </c>
      <c r="BZ24">
        <v>6</v>
      </c>
      <c r="CA24">
        <v>4</v>
      </c>
      <c r="CB24">
        <v>2</v>
      </c>
      <c r="CC24">
        <v>4</v>
      </c>
      <c r="CD24">
        <v>1</v>
      </c>
      <c r="CE24">
        <v>1</v>
      </c>
      <c r="CF24">
        <v>2</v>
      </c>
      <c r="CG24">
        <v>4</v>
      </c>
      <c r="CH24">
        <v>1</v>
      </c>
      <c r="CI24">
        <v>5</v>
      </c>
      <c r="CJ24">
        <v>2</v>
      </c>
      <c r="CK24">
        <v>3</v>
      </c>
      <c r="CL24">
        <v>3</v>
      </c>
      <c r="CM24">
        <v>3</v>
      </c>
      <c r="CN24">
        <v>2</v>
      </c>
      <c r="CO24">
        <v>3</v>
      </c>
      <c r="CP24">
        <v>3</v>
      </c>
      <c r="CQ24">
        <v>2</v>
      </c>
      <c r="CR24">
        <v>2</v>
      </c>
      <c r="CS24">
        <v>2</v>
      </c>
      <c r="CT24">
        <v>6</v>
      </c>
      <c r="CU24">
        <v>2</v>
      </c>
      <c r="CV24">
        <v>2</v>
      </c>
      <c r="CW24" s="5">
        <v>2</v>
      </c>
      <c r="CY24" s="5"/>
    </row>
    <row r="25" spans="1:103" x14ac:dyDescent="0.3">
      <c r="A25" s="4"/>
      <c r="B25" s="7">
        <v>2</v>
      </c>
      <c r="C25" s="8">
        <v>3</v>
      </c>
      <c r="D25" s="8">
        <v>4</v>
      </c>
      <c r="E25" s="8">
        <v>2</v>
      </c>
      <c r="F25" s="8">
        <v>6</v>
      </c>
      <c r="G25" s="8">
        <v>1</v>
      </c>
      <c r="H25" s="8">
        <v>1</v>
      </c>
      <c r="I25" s="8">
        <v>3</v>
      </c>
      <c r="J25" s="8">
        <v>1</v>
      </c>
      <c r="K25" s="8">
        <v>6</v>
      </c>
      <c r="L25" s="8">
        <v>5</v>
      </c>
      <c r="M25" s="8">
        <v>4</v>
      </c>
      <c r="N25" s="8">
        <v>3</v>
      </c>
      <c r="O25" s="8">
        <v>2</v>
      </c>
      <c r="P25" s="8">
        <v>2</v>
      </c>
      <c r="Q25" s="8">
        <v>9</v>
      </c>
      <c r="R25" s="8">
        <v>2</v>
      </c>
      <c r="S25" s="8">
        <v>2</v>
      </c>
      <c r="T25" s="8">
        <v>3</v>
      </c>
      <c r="U25" s="8">
        <v>4</v>
      </c>
      <c r="V25" s="8">
        <v>3</v>
      </c>
      <c r="W25" s="8">
        <v>2</v>
      </c>
      <c r="X25" s="8">
        <v>4</v>
      </c>
      <c r="Y25" s="8">
        <v>3</v>
      </c>
      <c r="Z25" s="8">
        <v>3</v>
      </c>
      <c r="AA25" s="8">
        <v>3</v>
      </c>
      <c r="AB25" s="8">
        <v>8</v>
      </c>
      <c r="AC25" s="8">
        <v>2</v>
      </c>
      <c r="AD25" s="8">
        <v>6</v>
      </c>
      <c r="AE25" s="8">
        <v>3</v>
      </c>
      <c r="AF25" s="8">
        <v>4</v>
      </c>
      <c r="AG25" s="8">
        <v>2</v>
      </c>
      <c r="AH25" s="8">
        <v>0</v>
      </c>
      <c r="AI25" s="8">
        <v>5</v>
      </c>
      <c r="AJ25" s="8">
        <v>3</v>
      </c>
      <c r="AK25" s="8">
        <v>5</v>
      </c>
      <c r="AL25" s="8">
        <v>1</v>
      </c>
      <c r="AM25" s="8">
        <v>4</v>
      </c>
      <c r="AN25" s="8">
        <v>2</v>
      </c>
      <c r="AO25" s="8">
        <v>1</v>
      </c>
      <c r="AP25" s="8">
        <v>1</v>
      </c>
      <c r="AQ25" s="8">
        <v>4</v>
      </c>
      <c r="AR25" s="8">
        <v>2</v>
      </c>
      <c r="AS25" s="8">
        <v>5</v>
      </c>
      <c r="AT25" s="8">
        <v>3</v>
      </c>
      <c r="AU25" s="8">
        <v>3</v>
      </c>
      <c r="AV25" s="8">
        <v>5</v>
      </c>
      <c r="AW25" s="8">
        <v>1</v>
      </c>
      <c r="AX25" s="8">
        <v>1</v>
      </c>
      <c r="AY25" s="8">
        <v>3</v>
      </c>
      <c r="AZ25" s="8">
        <v>9</v>
      </c>
      <c r="BA25" s="8">
        <v>2</v>
      </c>
      <c r="BB25" s="8">
        <v>2</v>
      </c>
      <c r="BC25" s="8">
        <v>4</v>
      </c>
      <c r="BD25" s="8">
        <v>4</v>
      </c>
      <c r="BE25" s="8">
        <v>12</v>
      </c>
      <c r="BF25" s="8">
        <v>7</v>
      </c>
      <c r="BG25" s="8">
        <v>1</v>
      </c>
      <c r="BH25" s="8">
        <v>2</v>
      </c>
      <c r="BI25" s="8">
        <v>3</v>
      </c>
      <c r="BJ25" s="8">
        <v>4</v>
      </c>
      <c r="BK25" s="8">
        <v>5</v>
      </c>
      <c r="BL25" s="8">
        <v>1</v>
      </c>
      <c r="BM25" s="8">
        <v>4</v>
      </c>
      <c r="BN25" s="8">
        <v>10</v>
      </c>
      <c r="BO25" s="8">
        <v>3</v>
      </c>
      <c r="BP25" s="8">
        <v>3</v>
      </c>
      <c r="BQ25" s="8">
        <v>3</v>
      </c>
      <c r="BR25" s="8">
        <v>2</v>
      </c>
      <c r="BS25" s="8">
        <v>3</v>
      </c>
      <c r="BT25" s="8">
        <v>2</v>
      </c>
      <c r="BU25" s="8">
        <v>9</v>
      </c>
      <c r="BV25" s="8">
        <v>2</v>
      </c>
      <c r="BW25" s="8">
        <v>4</v>
      </c>
      <c r="BX25" s="8">
        <v>7</v>
      </c>
      <c r="BY25" s="8">
        <v>2</v>
      </c>
      <c r="BZ25" s="8">
        <v>2</v>
      </c>
      <c r="CA25" s="8">
        <v>4</v>
      </c>
      <c r="CB25" s="8">
        <v>5</v>
      </c>
      <c r="CC25" s="8">
        <v>5</v>
      </c>
      <c r="CD25" s="8">
        <v>7</v>
      </c>
      <c r="CE25" s="8">
        <v>3</v>
      </c>
      <c r="CF25" s="8">
        <v>5</v>
      </c>
      <c r="CG25" s="8">
        <v>0</v>
      </c>
      <c r="CH25" s="8">
        <v>1</v>
      </c>
      <c r="CI25" s="8">
        <v>4</v>
      </c>
      <c r="CJ25" s="8">
        <v>4</v>
      </c>
      <c r="CK25" s="8">
        <v>4</v>
      </c>
      <c r="CL25" s="8">
        <v>3</v>
      </c>
      <c r="CM25" s="8">
        <v>1</v>
      </c>
      <c r="CN25" s="8">
        <v>2</v>
      </c>
      <c r="CO25" s="8">
        <v>2</v>
      </c>
      <c r="CP25" s="8">
        <v>1</v>
      </c>
      <c r="CQ25" s="8">
        <v>5</v>
      </c>
      <c r="CR25" s="8">
        <v>1</v>
      </c>
      <c r="CS25" s="8">
        <v>6</v>
      </c>
      <c r="CT25" s="8">
        <v>5</v>
      </c>
      <c r="CU25" s="8">
        <v>5</v>
      </c>
      <c r="CV25" s="8">
        <v>1</v>
      </c>
      <c r="CW25" s="9">
        <v>1</v>
      </c>
      <c r="CY25" s="5"/>
    </row>
    <row r="26" spans="1:103" x14ac:dyDescent="0.3">
      <c r="A26" s="4" t="s">
        <v>12</v>
      </c>
      <c r="B26">
        <f>AVERAGE(B17:B25)</f>
        <v>3.1111111111111112</v>
      </c>
      <c r="C26">
        <f t="shared" ref="C26:BN26" si="0">AVERAGE(C17:C25)</f>
        <v>3</v>
      </c>
      <c r="D26">
        <f t="shared" si="0"/>
        <v>2.6666666666666665</v>
      </c>
      <c r="E26">
        <f t="shared" si="0"/>
        <v>3.8888888888888888</v>
      </c>
      <c r="F26">
        <f t="shared" si="0"/>
        <v>3.7777777777777777</v>
      </c>
      <c r="G26">
        <f t="shared" si="0"/>
        <v>3.8888888888888888</v>
      </c>
      <c r="H26">
        <f t="shared" si="0"/>
        <v>2</v>
      </c>
      <c r="I26">
        <f t="shared" si="0"/>
        <v>3.6666666666666665</v>
      </c>
      <c r="J26">
        <f t="shared" si="0"/>
        <v>2.3333333333333335</v>
      </c>
      <c r="K26">
        <f t="shared" si="0"/>
        <v>3.2222222222222223</v>
      </c>
      <c r="L26">
        <f t="shared" si="0"/>
        <v>3</v>
      </c>
      <c r="M26">
        <f t="shared" si="0"/>
        <v>3.1111111111111112</v>
      </c>
      <c r="N26">
        <f t="shared" si="0"/>
        <v>3.8888888888888888</v>
      </c>
      <c r="O26">
        <f t="shared" si="0"/>
        <v>2.2222222222222223</v>
      </c>
      <c r="P26">
        <f t="shared" si="0"/>
        <v>2.3333333333333335</v>
      </c>
      <c r="Q26">
        <f t="shared" si="0"/>
        <v>4</v>
      </c>
      <c r="R26">
        <f t="shared" si="0"/>
        <v>2.4444444444444446</v>
      </c>
      <c r="S26">
        <f t="shared" si="0"/>
        <v>2.2222222222222223</v>
      </c>
      <c r="T26">
        <f t="shared" si="0"/>
        <v>4.5555555555555554</v>
      </c>
      <c r="U26">
        <f t="shared" si="0"/>
        <v>2.6666666666666665</v>
      </c>
      <c r="V26">
        <f t="shared" si="0"/>
        <v>2.4444444444444446</v>
      </c>
      <c r="W26">
        <f t="shared" si="0"/>
        <v>2.5555555555555554</v>
      </c>
      <c r="X26">
        <f t="shared" si="0"/>
        <v>2.6666666666666665</v>
      </c>
      <c r="Y26">
        <f t="shared" si="0"/>
        <v>2.8888888888888888</v>
      </c>
      <c r="Z26">
        <f t="shared" si="0"/>
        <v>3.4444444444444446</v>
      </c>
      <c r="AA26">
        <f t="shared" si="0"/>
        <v>3.7777777777777777</v>
      </c>
      <c r="AB26">
        <f t="shared" si="0"/>
        <v>2.8888888888888888</v>
      </c>
      <c r="AC26">
        <f t="shared" si="0"/>
        <v>2.2222222222222223</v>
      </c>
      <c r="AD26">
        <f t="shared" si="0"/>
        <v>3.1111111111111112</v>
      </c>
      <c r="AE26">
        <f t="shared" si="0"/>
        <v>2.5555555555555554</v>
      </c>
      <c r="AF26">
        <f t="shared" si="0"/>
        <v>3.4444444444444446</v>
      </c>
      <c r="AG26">
        <f t="shared" si="0"/>
        <v>3.8888888888888888</v>
      </c>
      <c r="AH26">
        <f t="shared" si="0"/>
        <v>3.2222222222222223</v>
      </c>
      <c r="AI26">
        <f t="shared" si="0"/>
        <v>3.4444444444444446</v>
      </c>
      <c r="AJ26">
        <f t="shared" si="0"/>
        <v>4</v>
      </c>
      <c r="AK26">
        <f t="shared" si="0"/>
        <v>2.3333333333333335</v>
      </c>
      <c r="AL26">
        <f t="shared" si="0"/>
        <v>2.1111111111111112</v>
      </c>
      <c r="AM26">
        <f t="shared" si="0"/>
        <v>3.2222222222222223</v>
      </c>
      <c r="AN26">
        <f t="shared" si="0"/>
        <v>2</v>
      </c>
      <c r="AO26">
        <f t="shared" si="0"/>
        <v>2.6666666666666665</v>
      </c>
      <c r="AP26">
        <f t="shared" si="0"/>
        <v>3.4444444444444446</v>
      </c>
      <c r="AQ26">
        <f t="shared" si="0"/>
        <v>3</v>
      </c>
      <c r="AR26">
        <f t="shared" si="0"/>
        <v>3.1111111111111112</v>
      </c>
      <c r="AS26">
        <f t="shared" si="0"/>
        <v>4.4444444444444446</v>
      </c>
      <c r="AT26">
        <f t="shared" si="0"/>
        <v>3</v>
      </c>
      <c r="AU26">
        <f t="shared" si="0"/>
        <v>3.2222222222222223</v>
      </c>
      <c r="AV26">
        <f t="shared" si="0"/>
        <v>3.5555555555555554</v>
      </c>
      <c r="AW26">
        <f t="shared" si="0"/>
        <v>3</v>
      </c>
      <c r="AX26">
        <f t="shared" si="0"/>
        <v>2.1111111111111112</v>
      </c>
      <c r="AY26">
        <f t="shared" si="0"/>
        <v>2.4444444444444446</v>
      </c>
      <c r="AZ26">
        <f t="shared" si="0"/>
        <v>3.5555555555555554</v>
      </c>
      <c r="BA26">
        <f t="shared" si="0"/>
        <v>3</v>
      </c>
      <c r="BB26">
        <f t="shared" si="0"/>
        <v>4.2222222222222223</v>
      </c>
      <c r="BC26">
        <f t="shared" si="0"/>
        <v>3.1111111111111112</v>
      </c>
      <c r="BD26">
        <f t="shared" si="0"/>
        <v>4.1111111111111107</v>
      </c>
      <c r="BE26">
        <f t="shared" si="0"/>
        <v>3.7777777777777777</v>
      </c>
      <c r="BF26">
        <f t="shared" si="0"/>
        <v>3.5555555555555554</v>
      </c>
      <c r="BG26">
        <f t="shared" si="0"/>
        <v>2.8888888888888888</v>
      </c>
      <c r="BH26">
        <f t="shared" si="0"/>
        <v>3.1111111111111112</v>
      </c>
      <c r="BI26">
        <f t="shared" si="0"/>
        <v>3.3333333333333335</v>
      </c>
      <c r="BJ26">
        <f t="shared" si="0"/>
        <v>3</v>
      </c>
      <c r="BK26">
        <f t="shared" si="0"/>
        <v>3.8888888888888888</v>
      </c>
      <c r="BL26">
        <f t="shared" si="0"/>
        <v>2.5555555555555554</v>
      </c>
      <c r="BM26">
        <f t="shared" si="0"/>
        <v>2.7777777777777777</v>
      </c>
      <c r="BN26">
        <f t="shared" si="0"/>
        <v>3.8888888888888888</v>
      </c>
      <c r="BO26">
        <f t="shared" ref="BO26:CW26" si="1">AVERAGE(BO17:BO25)</f>
        <v>3.6666666666666665</v>
      </c>
      <c r="BP26">
        <f t="shared" si="1"/>
        <v>2.8888888888888888</v>
      </c>
      <c r="BQ26">
        <f t="shared" si="1"/>
        <v>3.2222222222222223</v>
      </c>
      <c r="BR26">
        <f t="shared" si="1"/>
        <v>3.5555555555555554</v>
      </c>
      <c r="BS26">
        <f t="shared" si="1"/>
        <v>2.3333333333333335</v>
      </c>
      <c r="BT26">
        <f t="shared" si="1"/>
        <v>2.4444444444444446</v>
      </c>
      <c r="BU26">
        <f t="shared" si="1"/>
        <v>3.5555555555555554</v>
      </c>
      <c r="BV26">
        <f t="shared" si="1"/>
        <v>2.7777777777777777</v>
      </c>
      <c r="BW26">
        <f t="shared" si="1"/>
        <v>3.2222222222222223</v>
      </c>
      <c r="BX26">
        <f t="shared" si="1"/>
        <v>3.4444444444444446</v>
      </c>
      <c r="BY26">
        <f t="shared" si="1"/>
        <v>3.7777777777777777</v>
      </c>
      <c r="BZ26">
        <f t="shared" si="1"/>
        <v>3.1111111111111112</v>
      </c>
      <c r="CA26">
        <f t="shared" si="1"/>
        <v>3.5555555555555554</v>
      </c>
      <c r="CB26">
        <f t="shared" si="1"/>
        <v>3.1111111111111112</v>
      </c>
      <c r="CC26">
        <f t="shared" si="1"/>
        <v>4.1111111111111107</v>
      </c>
      <c r="CD26">
        <f t="shared" si="1"/>
        <v>3.4444444444444446</v>
      </c>
      <c r="CE26">
        <f t="shared" si="1"/>
        <v>1.6666666666666667</v>
      </c>
      <c r="CF26">
        <f t="shared" si="1"/>
        <v>2.6666666666666665</v>
      </c>
      <c r="CG26">
        <f t="shared" si="1"/>
        <v>2.4444444444444446</v>
      </c>
      <c r="CH26">
        <f t="shared" si="1"/>
        <v>2.5555555555555554</v>
      </c>
      <c r="CI26">
        <f t="shared" si="1"/>
        <v>2.6666666666666665</v>
      </c>
      <c r="CJ26">
        <f t="shared" si="1"/>
        <v>4.1111111111111107</v>
      </c>
      <c r="CK26">
        <f t="shared" si="1"/>
        <v>3</v>
      </c>
      <c r="CL26">
        <f t="shared" si="1"/>
        <v>2.5555555555555554</v>
      </c>
      <c r="CM26">
        <f t="shared" si="1"/>
        <v>2.8888888888888888</v>
      </c>
      <c r="CN26">
        <f t="shared" si="1"/>
        <v>2.8888888888888888</v>
      </c>
      <c r="CO26">
        <f t="shared" si="1"/>
        <v>2.3333333333333335</v>
      </c>
      <c r="CP26">
        <f t="shared" si="1"/>
        <v>2.3333333333333335</v>
      </c>
      <c r="CQ26">
        <f t="shared" si="1"/>
        <v>2.5555555555555554</v>
      </c>
      <c r="CR26">
        <f t="shared" si="1"/>
        <v>3</v>
      </c>
      <c r="CS26">
        <f t="shared" si="1"/>
        <v>3.2222222222222223</v>
      </c>
      <c r="CT26">
        <f t="shared" si="1"/>
        <v>3.8888888888888888</v>
      </c>
      <c r="CU26">
        <f t="shared" si="1"/>
        <v>3.2222222222222223</v>
      </c>
      <c r="CV26">
        <f t="shared" si="1"/>
        <v>2.3333333333333335</v>
      </c>
      <c r="CW26">
        <f t="shared" si="1"/>
        <v>3.1111111111111112</v>
      </c>
      <c r="CY26" s="5"/>
    </row>
    <row r="27" spans="1:103" x14ac:dyDescent="0.3">
      <c r="A27" s="4" t="s">
        <v>13</v>
      </c>
      <c r="D27">
        <f>AVERAGE(B26:CW26)</f>
        <v>3.0866666666666669</v>
      </c>
      <c r="E27" s="6" t="s">
        <v>15</v>
      </c>
      <c r="CY27" s="5"/>
    </row>
    <row r="28" spans="1:103" x14ac:dyDescent="0.3">
      <c r="A28" s="4" t="s">
        <v>14</v>
      </c>
      <c r="D28">
        <f>_xlfn.STDEV.S(B26:CW26)</f>
        <v>0.6137998193480495</v>
      </c>
      <c r="E28" s="6" t="s">
        <v>16</v>
      </c>
      <c r="CY28" s="5"/>
    </row>
    <row r="29" spans="1:103" x14ac:dyDescent="0.3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9"/>
    </row>
    <row r="31" spans="1:103" x14ac:dyDescent="0.3">
      <c r="A31" s="1"/>
      <c r="B31" s="2"/>
      <c r="C31" s="2"/>
      <c r="D31" s="2"/>
      <c r="E31" s="2"/>
      <c r="F31" s="2"/>
      <c r="G31" s="2"/>
      <c r="H31" s="2"/>
      <c r="I31" s="2"/>
      <c r="J31" s="2"/>
      <c r="K31" s="3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3"/>
    </row>
    <row r="32" spans="1:103" x14ac:dyDescent="0.3">
      <c r="A32" s="4"/>
      <c r="B32" t="s">
        <v>17</v>
      </c>
      <c r="K32" s="5"/>
      <c r="M32" s="4" t="s">
        <v>26</v>
      </c>
      <c r="X32" s="5"/>
    </row>
    <row r="33" spans="1:24" x14ac:dyDescent="0.3">
      <c r="A33" s="4"/>
      <c r="B33" t="s">
        <v>18</v>
      </c>
      <c r="K33" s="5"/>
      <c r="M33" s="4" t="s">
        <v>27</v>
      </c>
      <c r="X33" s="5"/>
    </row>
    <row r="34" spans="1:24" x14ac:dyDescent="0.3">
      <c r="A34" s="4"/>
      <c r="B34" s="6" t="s">
        <v>19</v>
      </c>
      <c r="K34" s="5"/>
      <c r="M34" s="4" t="s">
        <v>28</v>
      </c>
      <c r="X34" s="5"/>
    </row>
    <row r="35" spans="1:24" x14ac:dyDescent="0.3">
      <c r="A35" s="4"/>
      <c r="B35" t="s">
        <v>22</v>
      </c>
      <c r="K35" s="5"/>
      <c r="M35" s="4"/>
      <c r="X35" s="5"/>
    </row>
    <row r="36" spans="1:24" x14ac:dyDescent="0.3">
      <c r="A36" s="4"/>
      <c r="B36" t="s">
        <v>20</v>
      </c>
      <c r="K36" s="5"/>
      <c r="M36" s="4"/>
      <c r="X36" s="5"/>
    </row>
    <row r="37" spans="1:24" x14ac:dyDescent="0.3">
      <c r="A37" s="4"/>
      <c r="B37" t="s">
        <v>21</v>
      </c>
      <c r="K37" s="5"/>
      <c r="M37" s="4"/>
      <c r="X37" s="5"/>
    </row>
    <row r="38" spans="1:24" x14ac:dyDescent="0.3">
      <c r="A38" s="4"/>
      <c r="K38" s="5"/>
      <c r="M38" s="4"/>
      <c r="X38" s="5"/>
    </row>
    <row r="39" spans="1:24" x14ac:dyDescent="0.3">
      <c r="A39" s="4"/>
      <c r="B39" t="s">
        <v>23</v>
      </c>
      <c r="K39" s="5"/>
      <c r="M39" s="4"/>
      <c r="X39" s="5"/>
    </row>
    <row r="40" spans="1:24" x14ac:dyDescent="0.3">
      <c r="A40" s="4"/>
      <c r="B40" t="s">
        <v>24</v>
      </c>
      <c r="K40" s="5"/>
      <c r="M40" s="4"/>
      <c r="X40" s="5"/>
    </row>
    <row r="41" spans="1:24" x14ac:dyDescent="0.3">
      <c r="A41" s="4"/>
      <c r="B41" t="s">
        <v>25</v>
      </c>
      <c r="K41" s="5"/>
      <c r="M41" s="4" t="s">
        <v>29</v>
      </c>
      <c r="N41">
        <v>100</v>
      </c>
      <c r="X41" s="5"/>
    </row>
    <row r="42" spans="1:24" x14ac:dyDescent="0.3">
      <c r="A42" s="7"/>
      <c r="B42" s="8"/>
      <c r="C42" s="8"/>
      <c r="D42" s="8"/>
      <c r="E42" s="8"/>
      <c r="F42" s="8"/>
      <c r="G42" s="8"/>
      <c r="H42" s="8"/>
      <c r="I42" s="8"/>
      <c r="J42" s="8"/>
      <c r="K42" s="9"/>
      <c r="M42" s="4" t="s">
        <v>30</v>
      </c>
      <c r="N42">
        <v>32</v>
      </c>
      <c r="X42" s="5"/>
    </row>
    <row r="43" spans="1:24" x14ac:dyDescent="0.3">
      <c r="M43" s="4" t="s">
        <v>31</v>
      </c>
      <c r="N43">
        <v>4</v>
      </c>
      <c r="X43" s="5"/>
    </row>
    <row r="44" spans="1:24" x14ac:dyDescent="0.3">
      <c r="B44" s="1"/>
      <c r="C44" s="2"/>
      <c r="D44" s="2"/>
      <c r="E44" s="2"/>
      <c r="F44" s="2"/>
      <c r="G44" s="2"/>
      <c r="H44" s="2"/>
      <c r="I44" s="2"/>
      <c r="J44" s="2"/>
      <c r="K44" s="3"/>
      <c r="M44" s="4" t="s">
        <v>32</v>
      </c>
      <c r="N44">
        <f>_xlfn.NORM.S.INV(0.995)</f>
        <v>2.5758293035488999</v>
      </c>
      <c r="X44" s="5"/>
    </row>
    <row r="45" spans="1:24" x14ac:dyDescent="0.3">
      <c r="B45" s="4" t="s">
        <v>37</v>
      </c>
      <c r="C45" s="16"/>
      <c r="D45" s="16"/>
      <c r="E45" s="16"/>
      <c r="F45" s="16"/>
      <c r="G45" s="16"/>
      <c r="H45" s="16"/>
      <c r="I45" s="16"/>
      <c r="J45" s="16"/>
      <c r="K45" s="5"/>
      <c r="M45" s="4" t="s">
        <v>33</v>
      </c>
      <c r="N45">
        <f>N43/SQRT(N41)</f>
        <v>0.4</v>
      </c>
      <c r="X45" s="5"/>
    </row>
    <row r="46" spans="1:24" ht="17.25" thickBot="1" x14ac:dyDescent="0.35">
      <c r="B46" s="4" t="s">
        <v>39</v>
      </c>
      <c r="C46" s="16"/>
      <c r="D46" s="16"/>
      <c r="E46" s="16"/>
      <c r="F46" s="16"/>
      <c r="G46" s="16"/>
      <c r="H46" s="16"/>
      <c r="I46" s="16"/>
      <c r="J46" s="16"/>
      <c r="K46" s="5"/>
      <c r="M46" s="4" t="s">
        <v>34</v>
      </c>
      <c r="N46">
        <f>N44*N45</f>
        <v>1.03033172141956</v>
      </c>
      <c r="X46" s="5"/>
    </row>
    <row r="47" spans="1:24" ht="17.25" thickTop="1" x14ac:dyDescent="0.3">
      <c r="B47" s="4" t="s">
        <v>38</v>
      </c>
      <c r="C47" s="16"/>
      <c r="D47" s="16"/>
      <c r="E47" s="16"/>
      <c r="F47" s="16"/>
      <c r="G47" s="16"/>
      <c r="H47" s="16"/>
      <c r="I47" s="16"/>
      <c r="J47" s="16"/>
      <c r="K47" s="5"/>
      <c r="M47" s="12" t="s">
        <v>35</v>
      </c>
      <c r="N47" s="10">
        <f>N42-N46</f>
        <v>30.969668278580439</v>
      </c>
      <c r="X47" s="5"/>
    </row>
    <row r="48" spans="1:24" ht="17.25" thickBot="1" x14ac:dyDescent="0.35">
      <c r="B48" s="4"/>
      <c r="C48" s="16"/>
      <c r="D48" s="16"/>
      <c r="E48" s="16"/>
      <c r="F48" s="16"/>
      <c r="G48" s="16"/>
      <c r="H48" s="16"/>
      <c r="I48" s="16"/>
      <c r="J48" s="16"/>
      <c r="K48" s="5"/>
      <c r="M48" s="13" t="s">
        <v>36</v>
      </c>
      <c r="N48" s="11">
        <f>N42+N46</f>
        <v>33.030331721419557</v>
      </c>
      <c r="X48" s="5"/>
    </row>
    <row r="49" spans="2:24" ht="17.25" thickTop="1" x14ac:dyDescent="0.3">
      <c r="B49" s="4"/>
      <c r="C49" s="16"/>
      <c r="D49" s="16"/>
      <c r="E49" s="16"/>
      <c r="F49" s="16"/>
      <c r="G49" s="16"/>
      <c r="H49" s="16"/>
      <c r="I49" s="16"/>
      <c r="J49" s="16"/>
      <c r="K49" s="5"/>
      <c r="M49" s="4"/>
      <c r="X49" s="5"/>
    </row>
    <row r="50" spans="2:24" x14ac:dyDescent="0.3">
      <c r="B50" s="4"/>
      <c r="C50" s="16"/>
      <c r="D50" s="16"/>
      <c r="E50" s="16"/>
      <c r="F50" s="16"/>
      <c r="G50" s="16"/>
      <c r="H50" s="16"/>
      <c r="I50" s="16"/>
      <c r="J50" s="16"/>
      <c r="K50" s="5"/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</row>
    <row r="51" spans="2:24" x14ac:dyDescent="0.3">
      <c r="B51" s="4"/>
      <c r="C51" s="16"/>
      <c r="D51" s="16"/>
      <c r="E51" s="16"/>
      <c r="F51" s="16"/>
      <c r="G51" s="16"/>
      <c r="H51" s="16"/>
      <c r="I51" s="16"/>
      <c r="J51" s="16"/>
      <c r="K51" s="5"/>
    </row>
    <row r="52" spans="2:24" x14ac:dyDescent="0.3">
      <c r="B52" s="4"/>
      <c r="C52" s="16"/>
      <c r="D52" s="16"/>
      <c r="E52" s="16"/>
      <c r="F52" s="16"/>
      <c r="G52" s="16"/>
      <c r="H52" s="16"/>
      <c r="I52" s="16"/>
      <c r="J52" s="16"/>
      <c r="K52" s="5"/>
    </row>
    <row r="53" spans="2:24" x14ac:dyDescent="0.3">
      <c r="B53" s="4"/>
      <c r="C53" s="16"/>
      <c r="D53" s="16"/>
      <c r="E53" s="16"/>
      <c r="F53" s="16"/>
      <c r="G53" s="16"/>
      <c r="H53" s="16"/>
      <c r="I53" s="16"/>
      <c r="J53" s="16"/>
      <c r="K53" s="5"/>
    </row>
    <row r="54" spans="2:24" x14ac:dyDescent="0.3">
      <c r="B54" s="4" t="s">
        <v>40</v>
      </c>
      <c r="C54" s="16"/>
      <c r="D54" s="16">
        <f>_xlfn.NORM.S.INV(0.95)</f>
        <v>1.6448536269514715</v>
      </c>
      <c r="E54" s="16"/>
      <c r="F54" s="16"/>
      <c r="G54" s="16"/>
      <c r="H54" s="16"/>
      <c r="I54" s="16"/>
      <c r="J54" s="16"/>
      <c r="K54" s="5"/>
    </row>
    <row r="55" spans="2:24" x14ac:dyDescent="0.3">
      <c r="B55" s="4" t="s">
        <v>41</v>
      </c>
      <c r="C55" s="16"/>
      <c r="D55" s="16">
        <v>1.2</v>
      </c>
      <c r="E55" s="16"/>
      <c r="F55" s="16"/>
      <c r="G55" s="16"/>
      <c r="H55" s="16"/>
      <c r="I55" s="16"/>
      <c r="J55" s="16"/>
      <c r="K55" s="5"/>
    </row>
    <row r="56" spans="2:24" x14ac:dyDescent="0.3">
      <c r="B56" s="4" t="s">
        <v>42</v>
      </c>
      <c r="C56" s="16"/>
      <c r="D56" s="16">
        <v>9</v>
      </c>
      <c r="E56" s="16"/>
      <c r="F56" s="16"/>
      <c r="G56" s="16"/>
      <c r="H56" s="16"/>
      <c r="I56" s="16"/>
      <c r="J56" s="16"/>
      <c r="K56" s="5"/>
    </row>
    <row r="57" spans="2:24" ht="17.25" thickBot="1" x14ac:dyDescent="0.35">
      <c r="B57" s="4"/>
      <c r="C57" s="16"/>
      <c r="D57" s="16"/>
      <c r="E57" s="16"/>
      <c r="F57" s="16"/>
      <c r="G57" s="16"/>
      <c r="H57" s="16"/>
      <c r="I57" s="16"/>
      <c r="J57" s="16"/>
      <c r="K57" s="5"/>
    </row>
    <row r="58" spans="2:24" ht="18" thickTop="1" thickBot="1" x14ac:dyDescent="0.35">
      <c r="B58" s="17">
        <f>(D54*D56/D55)^2</f>
        <v>152.18681929286686</v>
      </c>
      <c r="C58" s="14" t="s">
        <v>43</v>
      </c>
      <c r="D58" s="16"/>
      <c r="E58" s="16"/>
      <c r="F58" s="16"/>
      <c r="G58" s="16"/>
      <c r="H58" s="16"/>
      <c r="I58" s="16"/>
      <c r="J58" s="16"/>
      <c r="K58" s="5"/>
    </row>
    <row r="59" spans="2:24" ht="17.25" thickTop="1" x14ac:dyDescent="0.3">
      <c r="B59" s="7"/>
      <c r="C59" s="8"/>
      <c r="D59" s="8"/>
      <c r="E59" s="8"/>
      <c r="F59" s="8"/>
      <c r="G59" s="8"/>
      <c r="H59" s="8"/>
      <c r="I59" s="8"/>
      <c r="J59" s="8"/>
      <c r="K59" s="9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리지떵</dc:creator>
  <cp:lastModifiedBy>이지형</cp:lastModifiedBy>
  <dcterms:created xsi:type="dcterms:W3CDTF">2015-06-05T18:19:34Z</dcterms:created>
  <dcterms:modified xsi:type="dcterms:W3CDTF">2026-05-16T19:54:54Z</dcterms:modified>
</cp:coreProperties>
</file>